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onthly_Waterfall" sheetId="1" state="visible" r:id="rId1"/>
    <sheet xmlns:r="http://schemas.openxmlformats.org/officeDocument/2006/relationships" name="2_Pipeline_CrossCheck" sheetId="2" state="visible" r:id="rId2"/>
    <sheet xmlns:r="http://schemas.openxmlformats.org/officeDocument/2006/relationships" name="3_Trigger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#,##0.00;(#,##0.00);-"/>
    <numFmt numFmtId="166" formatCode="#,##0.0000;(#,##0.0000);-"/>
    <numFmt numFmtId="167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1E276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6400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7" fontId="4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5" fontId="6" fillId="3" borderId="0" pivotButton="0" quotePrefix="0" xfId="0"/>
    <xf numFmtId="0" fontId="4" fillId="0" borderId="0" pivotButton="0" quotePrefix="0" xfId="0"/>
    <xf numFmtId="166" fontId="5" fillId="0" borderId="0" pivotButton="0" quotePrefix="0" xfId="0"/>
    <xf numFmtId="166" fontId="7" fillId="0" borderId="0" pivotButton="0" quotePrefix="0" xfId="0"/>
    <xf numFmtId="166" fontId="4" fillId="0" borderId="0" pivotButton="0" quotePrefix="0" xfId="0"/>
    <xf numFmtId="10" fontId="5" fillId="0" borderId="0" pivotButton="0" quotePrefix="0" xfId="0"/>
    <xf numFmtId="10" fontId="5" fillId="3" borderId="0" pivotButton="0" quotePrefix="0" xfId="0"/>
    <xf numFmtId="0" fontId="4" fillId="0" borderId="0" applyAlignment="1" pivotButton="0" quotePrefix="0" xfId="0">
      <alignment horizontal="left" vertical="center" wrapText="1"/>
    </xf>
    <xf numFmtId="167" fontId="5" fillId="0" borderId="0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0" customWidth="1" min="2" max="2"/>
    <col width="16" customWidth="1" min="3" max="3"/>
    <col width="20" customWidth="1" min="4" max="4"/>
    <col width="20" customWidth="1" min="5" max="5"/>
    <col width="21" customWidth="1" min="6" max="6"/>
    <col width="19" customWidth="1" min="7" max="7"/>
    <col width="24" customWidth="1" min="8" max="8"/>
    <col width="20" customWidth="1" min="9" max="9"/>
    <col width="16" customWidth="1" min="10" max="10"/>
    <col width="19" customWidth="1" min="11" max="11"/>
    <col width="21" customWidth="1" min="12" max="12"/>
    <col width="36" customWidth="1" min="13" max="13"/>
    <col width="60" customWidth="1" min="14" max="14"/>
  </cols>
  <sheetData>
    <row r="1">
      <c r="A1" s="1" t="inlineStr">
        <is>
          <t>Waterfall Cash-Flow Allocation — Monthly Validation</t>
        </is>
      </c>
    </row>
    <row r="2">
      <c r="A2" s="2" t="inlineStr">
        <is>
          <t>All amounts in ₹ Lakh (10⁵). Senior → Mezz → Cash Reserve → Equity. Loss allocation is bottom-up: equity (rank 3) absorbs first.</t>
        </is>
      </c>
    </row>
    <row r="3"/>
    <row r="4" ht="26" customHeight="1">
      <c r="A4" s="3" t="inlineStr">
        <is>
          <t>Reporting Date</t>
        </is>
      </c>
      <c r="B4" s="3" t="inlineStr">
        <is>
          <t>1. Servicer Fee</t>
        </is>
      </c>
      <c r="C4" s="3" t="inlineStr">
        <is>
          <t>2. Trustee Fee</t>
        </is>
      </c>
      <c r="D4" s="3" t="inlineStr">
        <is>
          <t>3. Senior Interest</t>
        </is>
      </c>
      <c r="E4" s="3" t="inlineStr">
        <is>
          <t>4. Mezz Interest</t>
        </is>
      </c>
      <c r="F4" s="3" t="inlineStr">
        <is>
          <t>5. Senior Principal</t>
        </is>
      </c>
      <c r="G4" s="3" t="inlineStr">
        <is>
          <t>6. Mezz Principal</t>
        </is>
      </c>
      <c r="H4" s="3" t="inlineStr">
        <is>
          <t>7. Cash Reserve Top-up</t>
        </is>
      </c>
      <c r="I4" s="3" t="inlineStr">
        <is>
          <t>8. Loss → Equity</t>
        </is>
      </c>
      <c r="J4" s="3" t="inlineStr">
        <is>
          <t>9. Loss → Mezz</t>
        </is>
      </c>
      <c r="K4" s="3" t="inlineStr">
        <is>
          <t>10. Loss → Senior</t>
        </is>
      </c>
      <c r="L4" s="3" t="inlineStr">
        <is>
          <t>11. Equity Residual</t>
        </is>
      </c>
      <c r="M4" s="3" t="inlineStr">
        <is>
          <t>Total Out (Senior + Mezz + Equity)</t>
        </is>
      </c>
      <c r="N4" s="3" t="inlineStr">
        <is>
          <t>Check (=∑ fees + interest + principal + reserve + residual)</t>
        </is>
      </c>
    </row>
    <row r="5">
      <c r="A5" s="4" t="n">
        <v>45290</v>
      </c>
      <c r="B5" s="5" t="n">
        <v>2.275416666666666</v>
      </c>
      <c r="C5" s="5" t="n">
        <v>2</v>
      </c>
      <c r="D5" s="5" t="n">
        <v>30.036875</v>
      </c>
      <c r="E5" s="5" t="n">
        <v>5.731249999999999</v>
      </c>
      <c r="F5" s="5" t="n">
        <v>170.7471337333333</v>
      </c>
      <c r="G5" s="5" t="n">
        <v>0</v>
      </c>
      <c r="H5" s="5" t="n">
        <v>0</v>
      </c>
      <c r="I5" s="5" t="n">
        <v>8.1502512</v>
      </c>
      <c r="J5" s="5" t="n">
        <v>0</v>
      </c>
      <c r="K5" s="5" t="n">
        <v>0</v>
      </c>
      <c r="L5" s="5" t="n">
        <v>0</v>
      </c>
      <c r="M5" s="6">
        <f>D5+E5+F5+G5+L5</f>
        <v/>
      </c>
      <c r="N5" s="6">
        <f>B5+C5+D5+E5+F5+G5+H5+L5</f>
        <v/>
      </c>
    </row>
    <row r="6">
      <c r="A6" s="4" t="n">
        <v>45321</v>
      </c>
      <c r="B6" s="5" t="n">
        <v>2.200876089611111</v>
      </c>
      <c r="C6" s="5" t="n">
        <v>2</v>
      </c>
      <c r="D6" s="5" t="n">
        <v>28.86298845558333</v>
      </c>
      <c r="E6" s="5" t="n">
        <v>5.731249999999999</v>
      </c>
      <c r="F6" s="5" t="n">
        <v>146.5462728548056</v>
      </c>
      <c r="G6" s="5" t="n">
        <v>0</v>
      </c>
      <c r="H6" s="5" t="n">
        <v>0</v>
      </c>
      <c r="I6" s="5" t="n">
        <v>8.512802599999999</v>
      </c>
      <c r="J6" s="5" t="n">
        <v>0</v>
      </c>
      <c r="K6" s="5" t="n">
        <v>0</v>
      </c>
      <c r="L6" s="5" t="n">
        <v>0</v>
      </c>
      <c r="M6" s="6">
        <f>D6+E6+F6+G6+L6</f>
        <v/>
      </c>
      <c r="N6" s="6">
        <f>B6+C6+D6+E6+F6+G6+H6+L6</f>
        <v/>
      </c>
    </row>
    <row r="7">
      <c r="A7" s="4" t="n">
        <v>45350</v>
      </c>
      <c r="B7" s="5" t="n">
        <v>2.136268141504942</v>
      </c>
      <c r="C7" s="5" t="n">
        <v>2</v>
      </c>
      <c r="D7" s="5" t="n">
        <v>27.85548282970655</v>
      </c>
      <c r="E7" s="5" t="n">
        <v>5.731249999999999</v>
      </c>
      <c r="F7" s="5" t="n">
        <v>162.9026975287886</v>
      </c>
      <c r="G7" s="5" t="n">
        <v>0</v>
      </c>
      <c r="H7" s="5" t="n">
        <v>0</v>
      </c>
      <c r="I7" s="5" t="n">
        <v>7.2611336</v>
      </c>
      <c r="J7" s="5" t="n">
        <v>0</v>
      </c>
      <c r="K7" s="5" t="n">
        <v>0</v>
      </c>
      <c r="L7" s="5" t="n">
        <v>0</v>
      </c>
      <c r="M7" s="6">
        <f>D7+E7+F7+G7+L7</f>
        <v/>
      </c>
      <c r="N7" s="6">
        <f>B7+C7+D7+E7+F7+G7+H7+L7</f>
        <v/>
      </c>
    </row>
    <row r="8">
      <c r="A8" s="4" t="n">
        <v>45381</v>
      </c>
      <c r="B8" s="5" t="n">
        <v>2.065366545201281</v>
      </c>
      <c r="C8" s="5" t="n">
        <v>2</v>
      </c>
      <c r="D8" s="5" t="n">
        <v>26.73552678419613</v>
      </c>
      <c r="E8" s="5" t="n">
        <v>5.731249999999999</v>
      </c>
      <c r="F8" s="5" t="n">
        <v>171.4040470706026</v>
      </c>
      <c r="G8" s="5" t="n">
        <v>0</v>
      </c>
      <c r="H8" s="5" t="n">
        <v>0</v>
      </c>
      <c r="I8" s="5" t="n">
        <v>7.781684200000001</v>
      </c>
      <c r="J8" s="5" t="n">
        <v>0</v>
      </c>
      <c r="K8" s="5" t="n">
        <v>0</v>
      </c>
      <c r="L8" s="5" t="n">
        <v>0</v>
      </c>
      <c r="M8" s="6">
        <f>D8+E8+F8+G8+L8</f>
        <v/>
      </c>
      <c r="N8" s="6">
        <f>B8+C8+D8+E8+F8+G8+H8+L8</f>
        <v/>
      </c>
    </row>
    <row r="9">
      <c r="A9" s="4" t="n">
        <v>45412</v>
      </c>
      <c r="B9" s="5" t="n">
        <v>1.99070582383853</v>
      </c>
      <c r="C9" s="5" t="n">
        <v>2</v>
      </c>
      <c r="D9" s="5" t="n">
        <v>25.55712396058573</v>
      </c>
      <c r="E9" s="5" t="n">
        <v>5.731249999999999</v>
      </c>
      <c r="F9" s="5" t="n">
        <v>176.9450142155757</v>
      </c>
      <c r="G9" s="5" t="n">
        <v>0</v>
      </c>
      <c r="H9" s="5" t="n">
        <v>0</v>
      </c>
      <c r="I9" s="5" t="n">
        <v>7.1115234</v>
      </c>
      <c r="J9" s="5" t="n">
        <v>0</v>
      </c>
      <c r="K9" s="5" t="n">
        <v>0</v>
      </c>
      <c r="L9" s="5" t="n">
        <v>0</v>
      </c>
      <c r="M9" s="6">
        <f>D9+E9+F9+G9+L9</f>
        <v/>
      </c>
      <c r="N9" s="6">
        <f>B9+C9+D9+E9+F9+G9+H9+L9</f>
        <v/>
      </c>
    </row>
    <row r="10">
      <c r="A10" s="4" t="n">
        <v>45442</v>
      </c>
      <c r="B10" s="5" t="n">
        <v>3.760714939742281</v>
      </c>
      <c r="C10" s="5" t="n">
        <v>4</v>
      </c>
      <c r="D10" s="5" t="n">
        <v>47.63618150693514</v>
      </c>
      <c r="E10" s="5" t="n">
        <v>11.4625</v>
      </c>
      <c r="F10" s="5" t="n">
        <v>318.2911827533227</v>
      </c>
      <c r="G10" s="5" t="n">
        <v>0</v>
      </c>
      <c r="H10" s="5" t="n">
        <v>0</v>
      </c>
      <c r="I10" s="5" t="n">
        <v>15.3367198</v>
      </c>
      <c r="J10" s="5" t="n">
        <v>0</v>
      </c>
      <c r="K10" s="5" t="n">
        <v>0</v>
      </c>
      <c r="L10" s="5" t="n">
        <v>0</v>
      </c>
      <c r="M10" s="6">
        <f>D10+E10+F10+G10+L10</f>
        <v/>
      </c>
      <c r="N10" s="6">
        <f>B10+C10+D10+E10+F10+G10+H10+L10</f>
        <v/>
      </c>
    </row>
    <row r="11">
      <c r="A11" s="4" t="n">
        <v>45473</v>
      </c>
      <c r="B11" s="5" t="n">
        <v>1.775003973768155</v>
      </c>
      <c r="C11" s="5" t="n">
        <v>2</v>
      </c>
      <c r="D11" s="5" t="n">
        <v>22.15237510642456</v>
      </c>
      <c r="E11" s="5" t="n">
        <v>5.731249999999999</v>
      </c>
      <c r="F11" s="5" t="n">
        <v>152.0940690198073</v>
      </c>
      <c r="G11" s="5" t="n">
        <v>0</v>
      </c>
      <c r="H11" s="5" t="n">
        <v>0</v>
      </c>
      <c r="I11" s="5" t="n">
        <v>4.5818697</v>
      </c>
      <c r="J11" s="5" t="n">
        <v>0</v>
      </c>
      <c r="K11" s="5" t="n">
        <v>0</v>
      </c>
      <c r="L11" s="5" t="n">
        <v>0</v>
      </c>
      <c r="M11" s="6">
        <f>D11+E11+F11+G11+L11</f>
        <v/>
      </c>
      <c r="N11" s="6">
        <f>B11+C11+D11+E11+F11+G11+H11+L11</f>
        <v/>
      </c>
    </row>
    <row r="12">
      <c r="A12" s="4" t="n">
        <v>45503</v>
      </c>
      <c r="B12" s="5" t="n">
        <v>1.709722332634902</v>
      </c>
      <c r="C12" s="5" t="n">
        <v>2</v>
      </c>
      <c r="D12" s="5" t="n">
        <v>21.10672838191338</v>
      </c>
      <c r="E12" s="5" t="n">
        <v>5.731249999999999</v>
      </c>
      <c r="F12" s="5" t="n">
        <v>131.3398178854517</v>
      </c>
      <c r="G12" s="5" t="n">
        <v>0</v>
      </c>
      <c r="H12" s="5" t="n">
        <v>0</v>
      </c>
      <c r="I12" s="5" t="n">
        <v>5.338392</v>
      </c>
      <c r="J12" s="5" t="n">
        <v>0</v>
      </c>
      <c r="K12" s="5" t="n">
        <v>0</v>
      </c>
      <c r="L12" s="5" t="n">
        <v>0</v>
      </c>
      <c r="M12" s="6">
        <f>D12+E12+F12+G12+L12</f>
        <v/>
      </c>
      <c r="N12" s="6">
        <f>B12+C12+D12+E12+F12+G12+H12+L12</f>
        <v/>
      </c>
    </row>
    <row r="13">
      <c r="A13" s="4" t="n">
        <v>45534</v>
      </c>
      <c r="B13" s="5" t="n">
        <v>1.652773078515964</v>
      </c>
      <c r="C13" s="5" t="n">
        <v>2</v>
      </c>
      <c r="D13" s="5" t="n">
        <v>20.2037671339509</v>
      </c>
      <c r="E13" s="5" t="n">
        <v>5.731249999999999</v>
      </c>
      <c r="F13" s="5" t="n">
        <v>155.2907273875332</v>
      </c>
      <c r="G13" s="5" t="n">
        <v>0</v>
      </c>
      <c r="H13" s="5" t="n">
        <v>0</v>
      </c>
      <c r="I13" s="5" t="n">
        <v>5.5417654</v>
      </c>
      <c r="J13" s="5" t="n">
        <v>0</v>
      </c>
      <c r="K13" s="5" t="n">
        <v>0</v>
      </c>
      <c r="L13" s="5" t="n">
        <v>0</v>
      </c>
      <c r="M13" s="6">
        <f>D13+E13+F13+G13+L13</f>
        <v/>
      </c>
      <c r="N13" s="6">
        <f>B13+C13+D13+E13+F13+G13+H13+L13</f>
        <v/>
      </c>
    </row>
    <row r="14">
      <c r="A14" s="4" t="n">
        <v>45565</v>
      </c>
      <c r="B14" s="5" t="n">
        <v>1.585759539854492</v>
      </c>
      <c r="C14" s="5" t="n">
        <v>2</v>
      </c>
      <c r="D14" s="5" t="n">
        <v>19.13614338316161</v>
      </c>
      <c r="E14" s="5" t="n">
        <v>5.731249999999999</v>
      </c>
      <c r="F14" s="5" t="n">
        <v>133.5341919769839</v>
      </c>
      <c r="G14" s="5" t="n">
        <v>0</v>
      </c>
      <c r="H14" s="5" t="n">
        <v>0</v>
      </c>
      <c r="I14" s="5" t="n">
        <v>4.0347926</v>
      </c>
      <c r="J14" s="5" t="n">
        <v>0</v>
      </c>
      <c r="K14" s="5" t="n">
        <v>0</v>
      </c>
      <c r="L14" s="5" t="n">
        <v>0</v>
      </c>
      <c r="M14" s="6">
        <f>D14+E14+F14+G14+L14</f>
        <v/>
      </c>
      <c r="N14" s="6">
        <f>B14+C14+D14+E14+F14+G14+H14+L14</f>
        <v/>
      </c>
    </row>
    <row r="15">
      <c r="A15" s="4" t="n">
        <v>45595</v>
      </c>
      <c r="B15" s="5" t="n">
        <v>1.528439129614082</v>
      </c>
      <c r="C15" s="5" t="n">
        <v>2</v>
      </c>
      <c r="D15" s="5" t="n">
        <v>18.21809581331985</v>
      </c>
      <c r="E15" s="5" t="n">
        <v>5.731249999999999</v>
      </c>
      <c r="F15" s="5" t="n">
        <v>121.0915275570661</v>
      </c>
      <c r="G15" s="5" t="n">
        <v>0</v>
      </c>
      <c r="H15" s="5" t="n">
        <v>0</v>
      </c>
      <c r="I15" s="5" t="n">
        <v>4.190621500000001</v>
      </c>
      <c r="J15" s="5" t="n">
        <v>0</v>
      </c>
      <c r="K15" s="5" t="n">
        <v>0</v>
      </c>
      <c r="L15" s="5" t="n">
        <v>0</v>
      </c>
      <c r="M15" s="6">
        <f>D15+E15+F15+G15+L15</f>
        <v/>
      </c>
      <c r="N15" s="6">
        <f>B15+C15+D15+E15+F15+G15+H15+L15</f>
        <v/>
      </c>
    </row>
    <row r="16"/>
    <row r="17">
      <c r="A17" s="7" t="inlineStr">
        <is>
          <t>TOTAL</t>
        </is>
      </c>
      <c r="B17" s="8">
        <f>SUM(B5:B15)</f>
        <v/>
      </c>
      <c r="C17" s="8">
        <f>SUM(C5:C15)</f>
        <v/>
      </c>
      <c r="D17" s="8">
        <f>SUM(D5:D15)</f>
        <v/>
      </c>
      <c r="E17" s="8">
        <f>SUM(E5:E15)</f>
        <v/>
      </c>
      <c r="F17" s="8">
        <f>SUM(F5:F15)</f>
        <v/>
      </c>
      <c r="G17" s="8">
        <f>SUM(G5:G15)</f>
        <v/>
      </c>
      <c r="H17" s="8">
        <f>SUM(H5:H15)</f>
        <v/>
      </c>
      <c r="I17" s="8">
        <f>SUM(I5:I15)</f>
        <v/>
      </c>
      <c r="J17" s="8">
        <f>SUM(J5:J15)</f>
        <v/>
      </c>
      <c r="K17" s="8">
        <f>SUM(K5:K15)</f>
        <v/>
      </c>
      <c r="L17" s="8">
        <f>SUM(L5:L15)</f>
        <v/>
      </c>
      <c r="M17" s="8">
        <f>SUM(M5:M15)</f>
        <v/>
      </c>
      <c r="N17" s="8">
        <f>SUM(N5:N15)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8" customWidth="1" min="3" max="3"/>
    <col width="10" customWidth="1" min="4" max="4"/>
    <col width="43" customWidth="1" min="5" max="5"/>
  </cols>
  <sheetData>
    <row r="1">
      <c r="A1" s="1" t="inlineStr">
        <is>
          <t>Excel Total vs. Python Pipeline Output</t>
        </is>
      </c>
    </row>
    <row r="2">
      <c r="A2" s="2" t="inlineStr">
        <is>
          <t>Both totals are computed from the same monthly waterfall.csv but via independent paths. Delta should be ≈ 0.</t>
        </is>
      </c>
    </row>
    <row r="3"/>
    <row r="4" ht="26" customHeight="1">
      <c r="A4" s="3" t="inlineStr">
        <is>
          <t>Step</t>
        </is>
      </c>
      <c r="B4" s="3" t="inlineStr">
        <is>
          <t>Pipeline Total (₹ Lakh)</t>
        </is>
      </c>
      <c r="C4" s="3" t="inlineStr">
        <is>
          <t>Excel Total (₹ Lakh)</t>
        </is>
      </c>
      <c r="D4" s="3" t="inlineStr">
        <is>
          <t>Delta</t>
        </is>
      </c>
      <c r="E4" s="3" t="inlineStr">
        <is>
          <t>Status</t>
        </is>
      </c>
    </row>
    <row r="5">
      <c r="A5" s="9" t="inlineStr">
        <is>
          <t>servicer_fee</t>
        </is>
      </c>
      <c r="B5" s="10" t="n">
        <v>22.68104626095241</v>
      </c>
      <c r="C5" s="11">
        <f>'1_Monthly_Waterfall'!B17</f>
        <v/>
      </c>
      <c r="D5" s="12">
        <f>C5-B5</f>
        <v/>
      </c>
      <c r="E5" s="9">
        <f>IF(ABS(D5) &lt;= 0.01, "✓ PASS", "✗ FAIL")</f>
        <v/>
      </c>
    </row>
    <row r="6">
      <c r="A6" s="9" t="inlineStr">
        <is>
          <t>trustee_fee</t>
        </is>
      </c>
      <c r="B6" s="10" t="n">
        <v>24</v>
      </c>
      <c r="C6" s="11">
        <f>'1_Monthly_Waterfall'!C17</f>
        <v/>
      </c>
      <c r="D6" s="12">
        <f>C6-B6</f>
        <v/>
      </c>
      <c r="E6" s="9">
        <f>IF(ABS(D6) &lt;= 0.01, "✓ PASS", "✗ FAIL")</f>
        <v/>
      </c>
    </row>
    <row r="7">
      <c r="A7" s="9" t="inlineStr">
        <is>
          <t>senior_interest</t>
        </is>
      </c>
      <c r="B7" s="10" t="n">
        <v>287.5012883557771</v>
      </c>
      <c r="C7" s="11">
        <f>'1_Monthly_Waterfall'!D17</f>
        <v/>
      </c>
      <c r="D7" s="12">
        <f>C7-B7</f>
        <v/>
      </c>
      <c r="E7" s="9">
        <f>IF(ABS(D7) &lt;= 0.01, "✓ PASS", "✗ FAIL")</f>
        <v/>
      </c>
    </row>
    <row r="8">
      <c r="A8" s="9" t="inlineStr">
        <is>
          <t>mezz_interest</t>
        </is>
      </c>
      <c r="B8" s="10" t="n">
        <v>68.77499999999999</v>
      </c>
      <c r="C8" s="11">
        <f>'1_Monthly_Waterfall'!E17</f>
        <v/>
      </c>
      <c r="D8" s="12">
        <f>C8-B8</f>
        <v/>
      </c>
      <c r="E8" s="9">
        <f>IF(ABS(D8) &lt;= 0.01, "✓ PASS", "✗ FAIL")</f>
        <v/>
      </c>
    </row>
    <row r="9">
      <c r="A9" s="9" t="inlineStr">
        <is>
          <t>senior_principal</t>
        </is>
      </c>
      <c r="B9" s="10" t="n">
        <v>1840.186681983271</v>
      </c>
      <c r="C9" s="11">
        <f>'1_Monthly_Waterfall'!F17</f>
        <v/>
      </c>
      <c r="D9" s="12">
        <f>C9-B9</f>
        <v/>
      </c>
      <c r="E9" s="9">
        <f>IF(ABS(D9) &lt;= 0.01, "✓ PASS", "✗ FAIL")</f>
        <v/>
      </c>
    </row>
    <row r="10">
      <c r="A10" s="9" t="inlineStr">
        <is>
          <t>mezz_principal</t>
        </is>
      </c>
      <c r="B10" s="10" t="n">
        <v>0</v>
      </c>
      <c r="C10" s="11">
        <f>'1_Monthly_Waterfall'!G17</f>
        <v/>
      </c>
      <c r="D10" s="12">
        <f>C10-B10</f>
        <v/>
      </c>
      <c r="E10" s="9">
        <f>IF(ABS(D10) &lt;= 0.01, "✓ PASS", "✗ FAIL")</f>
        <v/>
      </c>
    </row>
    <row r="11">
      <c r="A11" s="9" t="inlineStr">
        <is>
          <t>cash_reserve_topup</t>
        </is>
      </c>
      <c r="B11" s="10" t="n">
        <v>0</v>
      </c>
      <c r="C11" s="11">
        <f>'1_Monthly_Waterfall'!H17</f>
        <v/>
      </c>
      <c r="D11" s="12">
        <f>C11-B11</f>
        <v/>
      </c>
      <c r="E11" s="9">
        <f>IF(ABS(D11) &lt;= 0.01, "✓ PASS", "✗ FAIL")</f>
        <v/>
      </c>
    </row>
    <row r="12">
      <c r="A12" s="9" t="inlineStr">
        <is>
          <t>loss_to_rank_3</t>
        </is>
      </c>
      <c r="B12" s="10" t="n">
        <v>77.841556</v>
      </c>
      <c r="C12" s="11">
        <f>'1_Monthly_Waterfall'!I17</f>
        <v/>
      </c>
      <c r="D12" s="12">
        <f>C12-B12</f>
        <v/>
      </c>
      <c r="E12" s="9">
        <f>IF(ABS(D12) &lt;= 0.01, "✓ PASS", "✗ FAIL")</f>
        <v/>
      </c>
    </row>
    <row r="13">
      <c r="A13" s="9" t="inlineStr">
        <is>
          <t>loss_to_rank_2</t>
        </is>
      </c>
      <c r="B13" s="10" t="n">
        <v>0</v>
      </c>
      <c r="C13" s="11">
        <f>'1_Monthly_Waterfall'!J17</f>
        <v/>
      </c>
      <c r="D13" s="12">
        <f>C13-B13</f>
        <v/>
      </c>
      <c r="E13" s="9">
        <f>IF(ABS(D13) &lt;= 0.01, "✓ PASS", "✗ FAIL")</f>
        <v/>
      </c>
    </row>
    <row r="14">
      <c r="A14" s="9" t="inlineStr">
        <is>
          <t>loss_to_rank_1</t>
        </is>
      </c>
      <c r="B14" s="10" t="n">
        <v>0</v>
      </c>
      <c r="C14" s="11">
        <f>'1_Monthly_Waterfall'!K17</f>
        <v/>
      </c>
      <c r="D14" s="12">
        <f>C14-B14</f>
        <v/>
      </c>
      <c r="E14" s="9">
        <f>IF(ABS(D14) &lt;= 0.01, "✓ PASS", "✗ FAIL")</f>
        <v/>
      </c>
    </row>
    <row r="15">
      <c r="A15" s="9" t="inlineStr">
        <is>
          <t>equity_residual</t>
        </is>
      </c>
      <c r="B15" s="10" t="n">
        <v>0</v>
      </c>
      <c r="C15" s="11">
        <f>'1_Monthly_Waterfall'!L17</f>
        <v/>
      </c>
      <c r="D15" s="12">
        <f>C15-B15</f>
        <v/>
      </c>
      <c r="E15" s="9">
        <f>IF(ABS(D15) &lt;= 0.01, "✓ PASS", "✗ 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32" customWidth="1" min="4" max="4"/>
    <col width="40" customWidth="1" min="5" max="5"/>
  </cols>
  <sheetData>
    <row r="1">
      <c r="A1" s="1" t="inlineStr">
        <is>
          <t>Securitisation Triggers — Threshold Status</t>
        </is>
      </c>
    </row>
    <row r="2">
      <c r="A2" s="2" t="inlineStr">
        <is>
          <t>Thresholds per RBI Master Direction §22.6 and indenture covenants. Yellow cells = configurable assumptions.</t>
        </is>
      </c>
    </row>
    <row r="3"/>
    <row r="4" ht="26" customHeight="1">
      <c r="A4" s="3" t="inlineStr">
        <is>
          <t>Trigger</t>
        </is>
      </c>
      <c r="B4" s="3" t="inlineStr">
        <is>
          <t>Current Value</t>
        </is>
      </c>
      <c r="C4" s="3" t="inlineStr">
        <is>
          <t>Threshold</t>
        </is>
      </c>
      <c r="D4" s="3" t="inlineStr">
        <is>
          <t>Status</t>
        </is>
      </c>
      <c r="E4" s="3" t="inlineStr">
        <is>
          <t>Comment</t>
        </is>
      </c>
    </row>
    <row r="5">
      <c r="A5" s="9" t="inlineStr">
        <is>
          <t>30+ DPD %</t>
        </is>
      </c>
      <c r="B5" s="13" t="n">
        <v>0.1411</v>
      </c>
      <c r="C5" s="14" t="n">
        <v>0.06</v>
      </c>
      <c r="D5" s="9">
        <f>IF(B5 &gt; C5, "BREACHED", "OK")</f>
        <v/>
      </c>
      <c r="E5" s="15" t="inlineStr">
        <is>
          <t>Early-amortisation trigger if breached</t>
        </is>
      </c>
    </row>
    <row r="6">
      <c r="A6" s="9" t="inlineStr">
        <is>
          <t>Cumulative Net Loss %</t>
        </is>
      </c>
      <c r="B6" s="13" t="n">
        <v>0.0214</v>
      </c>
      <c r="C6" s="14" t="n">
        <v>0.03</v>
      </c>
      <c r="D6" s="9">
        <f>IF(B6 &gt; C6, "BREACHED", "OK")</f>
        <v/>
      </c>
      <c r="E6" s="15" t="inlineStr">
        <is>
          <t>Senior-step-up trigger</t>
        </is>
      </c>
    </row>
    <row r="7">
      <c r="A7" s="9" t="inlineStr">
        <is>
          <t>OC Ratio (pool / senior)</t>
        </is>
      </c>
      <c r="B7" s="16" t="n">
        <v>1.165</v>
      </c>
      <c r="C7" s="17" t="n">
        <v>1.15</v>
      </c>
      <c r="D7" s="9">
        <f>IF(B7 &lt; C7, "BREACHED", "OK")</f>
        <v/>
      </c>
      <c r="E7" s="15" t="inlineStr">
        <is>
          <t>Trapping trigger if below floor</t>
        </is>
      </c>
    </row>
    <row r="8">
      <c r="A8" s="9" t="inlineStr">
        <is>
          <t>CPR Annualised %</t>
        </is>
      </c>
      <c r="B8" s="13" t="n">
        <v>0.09329999999999999</v>
      </c>
      <c r="C8" s="14" t="n">
        <v>0.2</v>
      </c>
      <c r="D8" s="9">
        <f>IF(B8 &gt; C8, "BREACHED", "OK")</f>
        <v/>
      </c>
      <c r="E8" s="15" t="inlineStr">
        <is>
          <t>Acceptable prepayment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2026-05-21T08:58:09Z</dcterms:created>
  <dcterms:modified xmlns:dcterms="http://purl.org/dc/terms/" xmlns:xsi="http://www.w3.org/2001/XMLSchema-instance" xsi:type="dcterms:W3CDTF">2026-05-21T08:58:09Z</dcterms:modified>
</cp:coreProperties>
</file>