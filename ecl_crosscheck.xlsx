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Loan_Detail" sheetId="1" state="visible" r:id="rId3"/>
    <sheet name="2_Stage_Summary" sheetId="2" state="visible" r:id="rId4"/>
    <sheet name="3_Pipeline_Comparis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<sst xmlns="http://schemas.openxmlformats.org/spreadsheetml/2006/main" count="540" uniqueCount="539">
  <si>
    <t xml:space="preserve">IFRS 9 Expected Credit Loss — Loan-Level Cross-Check</t>
  </si>
  <si>
    <t xml:space="preserve">Pool ZAAUTO2024-1 · ECL = PD × LGD × EAD · LGD collared [25 %, 75 %] · Stage-3 PD floored at 95 %</t>
  </si>
  <si>
    <t xml:space="preserve">LoanID</t>
  </si>
  <si>
    <t xml:space="preserve">IFRS 9 Stage</t>
  </si>
  <si>
    <t xml:space="preserve">Current Balance (₹)</t>
  </si>
  <si>
    <t xml:space="preserve">EAD (₹)</t>
  </si>
  <si>
    <t xml:space="preserve">PD (decimal)</t>
  </si>
  <si>
    <t xml:space="preserve">LGD (% raw)</t>
  </si>
  <si>
    <t xml:space="preserve">LGD collared (%)</t>
  </si>
  <si>
    <t xml:space="preserve">ECL (12-month) (₹)</t>
  </si>
  <si>
    <t xml:space="preserve">ECL (lifetime) (₹)</t>
  </si>
  <si>
    <t xml:space="preserve">Bucket ECL (₹)</t>
  </si>
  <si>
    <t xml:space="preserve">Source ECL_Provision (₹)</t>
  </si>
  <si>
    <t xml:space="preserve">Delta (₹)</t>
  </si>
  <si>
    <t xml:space="preserve">ZAAUTO2024-1-00001</t>
  </si>
  <si>
    <t xml:space="preserve">ZAAUTO2024-1-00002</t>
  </si>
  <si>
    <t xml:space="preserve">ZAAUTO2024-1-00003</t>
  </si>
  <si>
    <t xml:space="preserve">ZAAUTO2024-1-00004</t>
  </si>
  <si>
    <t xml:space="preserve">ZAAUTO2024-1-00005</t>
  </si>
  <si>
    <t xml:space="preserve">ZAAUTO2024-1-00006</t>
  </si>
  <si>
    <t xml:space="preserve">ZAAUTO2024-1-00007</t>
  </si>
  <si>
    <t xml:space="preserve">ZAAUTO2024-1-00008</t>
  </si>
  <si>
    <t xml:space="preserve">ZAAUTO2024-1-00009</t>
  </si>
  <si>
    <t xml:space="preserve">ZAAUTO2024-1-00010</t>
  </si>
  <si>
    <t xml:space="preserve">ZAAUTO2024-1-00011</t>
  </si>
  <si>
    <t xml:space="preserve">ZAAUTO2024-1-00012</t>
  </si>
  <si>
    <t xml:space="preserve">ZAAUTO2024-1-00013</t>
  </si>
  <si>
    <t xml:space="preserve">ZAAUTO2024-1-00014</t>
  </si>
  <si>
    <t xml:space="preserve">ZAAUTO2024-1-00015</t>
  </si>
  <si>
    <t xml:space="preserve">ZAAUTO2024-1-00016</t>
  </si>
  <si>
    <t xml:space="preserve">ZAAUTO2024-1-00017</t>
  </si>
  <si>
    <t xml:space="preserve">ZAAUTO2024-1-00018</t>
  </si>
  <si>
    <t xml:space="preserve">ZAAUTO2024-1-00019</t>
  </si>
  <si>
    <t xml:space="preserve">ZAAUTO2024-1-00020</t>
  </si>
  <si>
    <t xml:space="preserve">ZAAUTO2024-1-00021</t>
  </si>
  <si>
    <t xml:space="preserve">ZAAUTO2024-1-00022</t>
  </si>
  <si>
    <t xml:space="preserve">ZAAUTO2024-1-00023</t>
  </si>
  <si>
    <t xml:space="preserve">ZAAUTO2024-1-00024</t>
  </si>
  <si>
    <t xml:space="preserve">ZAAUTO2024-1-00025</t>
  </si>
  <si>
    <t xml:space="preserve">ZAAUTO2024-1-00026</t>
  </si>
  <si>
    <t xml:space="preserve">ZAAUTO2024-1-00027</t>
  </si>
  <si>
    <t xml:space="preserve">ZAAUTO2024-1-00028</t>
  </si>
  <si>
    <t xml:space="preserve">ZAAUTO2024-1-00029</t>
  </si>
  <si>
    <t xml:space="preserve">ZAAUTO2024-1-00030</t>
  </si>
  <si>
    <t xml:space="preserve">ZAAUTO2024-1-00031</t>
  </si>
  <si>
    <t xml:space="preserve">ZAAUTO2024-1-00032</t>
  </si>
  <si>
    <t xml:space="preserve">ZAAUTO2024-1-00033</t>
  </si>
  <si>
    <t xml:space="preserve">ZAAUTO2024-1-00034</t>
  </si>
  <si>
    <t xml:space="preserve">ZAAUTO2024-1-00035</t>
  </si>
  <si>
    <t xml:space="preserve">ZAAUTO2024-1-00036</t>
  </si>
  <si>
    <t xml:space="preserve">ZAAUTO2024-1-00037</t>
  </si>
  <si>
    <t xml:space="preserve">ZAAUTO2024-1-00038</t>
  </si>
  <si>
    <t xml:space="preserve">ZAAUTO2024-1-00039</t>
  </si>
  <si>
    <t xml:space="preserve">ZAAUTO2024-1-00040</t>
  </si>
  <si>
    <t xml:space="preserve">ZAAUTO2024-1-00041</t>
  </si>
  <si>
    <t xml:space="preserve">ZAAUTO2024-1-00042</t>
  </si>
  <si>
    <t xml:space="preserve">ZAAUTO2024-1-00043</t>
  </si>
  <si>
    <t xml:space="preserve">ZAAUTO2024-1-00044</t>
  </si>
  <si>
    <t xml:space="preserve">ZAAUTO2024-1-00045</t>
  </si>
  <si>
    <t xml:space="preserve">ZAAUTO2024-1-00046</t>
  </si>
  <si>
    <t xml:space="preserve">ZAAUTO2024-1-00047</t>
  </si>
  <si>
    <t xml:space="preserve">ZAAUTO2024-1-00048</t>
  </si>
  <si>
    <t xml:space="preserve">ZAAUTO2024-1-00049</t>
  </si>
  <si>
    <t xml:space="preserve">ZAAUTO2024-1-00050</t>
  </si>
  <si>
    <t xml:space="preserve">ZAAUTO2024-1-00051</t>
  </si>
  <si>
    <t xml:space="preserve">ZAAUTO2024-1-00052</t>
  </si>
  <si>
    <t xml:space="preserve">ZAAUTO2024-1-00053</t>
  </si>
  <si>
    <t xml:space="preserve">ZAAUTO2024-1-00054</t>
  </si>
  <si>
    <t xml:space="preserve">ZAAUTO2024-1-00055</t>
  </si>
  <si>
    <t xml:space="preserve">ZAAUTO2024-1-00056</t>
  </si>
  <si>
    <t xml:space="preserve">ZAAUTO2024-1-00057</t>
  </si>
  <si>
    <t xml:space="preserve">ZAAUTO2024-1-00058</t>
  </si>
  <si>
    <t xml:space="preserve">ZAAUTO2024-1-00059</t>
  </si>
  <si>
    <t xml:space="preserve">ZAAUTO2024-1-00060</t>
  </si>
  <si>
    <t xml:space="preserve">ZAAUTO2024-1-00061</t>
  </si>
  <si>
    <t xml:space="preserve">ZAAUTO2024-1-00062</t>
  </si>
  <si>
    <t xml:space="preserve">ZAAUTO2024-1-00063</t>
  </si>
  <si>
    <t xml:space="preserve">ZAAUTO2024-1-00064</t>
  </si>
  <si>
    <t xml:space="preserve">ZAAUTO2024-1-00065</t>
  </si>
  <si>
    <t xml:space="preserve">ZAAUTO2024-1-00066</t>
  </si>
  <si>
    <t xml:space="preserve">ZAAUTO2024-1-00067</t>
  </si>
  <si>
    <t xml:space="preserve">ZAAUTO2024-1-00068</t>
  </si>
  <si>
    <t xml:space="preserve">ZAAUTO2024-1-00069</t>
  </si>
  <si>
    <t xml:space="preserve">ZAAUTO2024-1-00070</t>
  </si>
  <si>
    <t xml:space="preserve">ZAAUTO2024-1-00071</t>
  </si>
  <si>
    <t xml:space="preserve">ZAAUTO2024-1-00072</t>
  </si>
  <si>
    <t xml:space="preserve">ZAAUTO2024-1-00073</t>
  </si>
  <si>
    <t xml:space="preserve">ZAAUTO2024-1-00074</t>
  </si>
  <si>
    <t xml:space="preserve">ZAAUTO2024-1-00075</t>
  </si>
  <si>
    <t xml:space="preserve">ZAAUTO2024-1-00076</t>
  </si>
  <si>
    <t xml:space="preserve">ZAAUTO2024-1-00077</t>
  </si>
  <si>
    <t xml:space="preserve">ZAAUTO2024-1-00078</t>
  </si>
  <si>
    <t xml:space="preserve">ZAAUTO2024-1-00079</t>
  </si>
  <si>
    <t xml:space="preserve">ZAAUTO2024-1-00080</t>
  </si>
  <si>
    <t xml:space="preserve">ZAAUTO2024-1-00081</t>
  </si>
  <si>
    <t xml:space="preserve">ZAAUTO2024-1-00082</t>
  </si>
  <si>
    <t xml:space="preserve">ZAAUTO2024-1-00083</t>
  </si>
  <si>
    <t xml:space="preserve">ZAAUTO2024-1-00084</t>
  </si>
  <si>
    <t xml:space="preserve">ZAAUTO2024-1-00085</t>
  </si>
  <si>
    <t xml:space="preserve">ZAAUTO2024-1-00086</t>
  </si>
  <si>
    <t xml:space="preserve">ZAAUTO2024-1-00087</t>
  </si>
  <si>
    <t xml:space="preserve">ZAAUTO2024-1-00088</t>
  </si>
  <si>
    <t xml:space="preserve">ZAAUTO2024-1-00089</t>
  </si>
  <si>
    <t xml:space="preserve">ZAAUTO2024-1-00090</t>
  </si>
  <si>
    <t xml:space="preserve">ZAAUTO2024-1-00091</t>
  </si>
  <si>
    <t xml:space="preserve">ZAAUTO2024-1-00092</t>
  </si>
  <si>
    <t xml:space="preserve">ZAAUTO2024-1-00093</t>
  </si>
  <si>
    <t xml:space="preserve">ZAAUTO2024-1-00094</t>
  </si>
  <si>
    <t xml:space="preserve">ZAAUTO2024-1-00095</t>
  </si>
  <si>
    <t xml:space="preserve">ZAAUTO2024-1-00096</t>
  </si>
  <si>
    <t xml:space="preserve">ZAAUTO2024-1-00097</t>
  </si>
  <si>
    <t xml:space="preserve">ZAAUTO2024-1-00098</t>
  </si>
  <si>
    <t xml:space="preserve">ZAAUTO2024-1-00099</t>
  </si>
  <si>
    <t xml:space="preserve">ZAAUTO2024-1-00100</t>
  </si>
  <si>
    <t xml:space="preserve">ZAAUTO2024-1-00101</t>
  </si>
  <si>
    <t xml:space="preserve">ZAAUTO2024-1-00102</t>
  </si>
  <si>
    <t xml:space="preserve">ZAAUTO2024-1-00103</t>
  </si>
  <si>
    <t xml:space="preserve">ZAAUTO2024-1-00104</t>
  </si>
  <si>
    <t xml:space="preserve">ZAAUTO2024-1-00105</t>
  </si>
  <si>
    <t xml:space="preserve">ZAAUTO2024-1-00106</t>
  </si>
  <si>
    <t xml:space="preserve">ZAAUTO2024-1-00107</t>
  </si>
  <si>
    <t xml:space="preserve">ZAAUTO2024-1-00108</t>
  </si>
  <si>
    <t xml:space="preserve">ZAAUTO2024-1-00109</t>
  </si>
  <si>
    <t xml:space="preserve">ZAAUTO2024-1-00110</t>
  </si>
  <si>
    <t xml:space="preserve">ZAAUTO2024-1-00111</t>
  </si>
  <si>
    <t xml:space="preserve">ZAAUTO2024-1-00112</t>
  </si>
  <si>
    <t xml:space="preserve">ZAAUTO2024-1-00113</t>
  </si>
  <si>
    <t xml:space="preserve">ZAAUTO2024-1-00114</t>
  </si>
  <si>
    <t xml:space="preserve">ZAAUTO2024-1-00115</t>
  </si>
  <si>
    <t xml:space="preserve">ZAAUTO2024-1-00116</t>
  </si>
  <si>
    <t xml:space="preserve">ZAAUTO2024-1-00117</t>
  </si>
  <si>
    <t xml:space="preserve">ZAAUTO2024-1-00118</t>
  </si>
  <si>
    <t xml:space="preserve">ZAAUTO2024-1-00119</t>
  </si>
  <si>
    <t xml:space="preserve">ZAAUTO2024-1-00120</t>
  </si>
  <si>
    <t xml:space="preserve">ZAAUTO2024-1-00121</t>
  </si>
  <si>
    <t xml:space="preserve">ZAAUTO2024-1-00122</t>
  </si>
  <si>
    <t xml:space="preserve">ZAAUTO2024-1-00123</t>
  </si>
  <si>
    <t xml:space="preserve">ZAAUTO2024-1-00124</t>
  </si>
  <si>
    <t xml:space="preserve">ZAAUTO2024-1-00125</t>
  </si>
  <si>
    <t xml:space="preserve">ZAAUTO2024-1-00126</t>
  </si>
  <si>
    <t xml:space="preserve">ZAAUTO2024-1-00127</t>
  </si>
  <si>
    <t xml:space="preserve">ZAAUTO2024-1-00128</t>
  </si>
  <si>
    <t xml:space="preserve">ZAAUTO2024-1-00129</t>
  </si>
  <si>
    <t xml:space="preserve">ZAAUTO2024-1-00130</t>
  </si>
  <si>
    <t xml:space="preserve">ZAAUTO2024-1-00131</t>
  </si>
  <si>
    <t xml:space="preserve">ZAAUTO2024-1-00132</t>
  </si>
  <si>
    <t xml:space="preserve">ZAAUTO2024-1-00133</t>
  </si>
  <si>
    <t xml:space="preserve">ZAAUTO2024-1-00134</t>
  </si>
  <si>
    <t xml:space="preserve">ZAAUTO2024-1-00135</t>
  </si>
  <si>
    <t xml:space="preserve">ZAAUTO2024-1-00136</t>
  </si>
  <si>
    <t xml:space="preserve">ZAAUTO2024-1-00137</t>
  </si>
  <si>
    <t xml:space="preserve">ZAAUTO2024-1-00138</t>
  </si>
  <si>
    <t xml:space="preserve">ZAAUTO2024-1-00139</t>
  </si>
  <si>
    <t xml:space="preserve">ZAAUTO2024-1-00140</t>
  </si>
  <si>
    <t xml:space="preserve">ZAAUTO2024-1-00141</t>
  </si>
  <si>
    <t xml:space="preserve">ZAAUTO2024-1-00142</t>
  </si>
  <si>
    <t xml:space="preserve">ZAAUTO2024-1-00143</t>
  </si>
  <si>
    <t xml:space="preserve">ZAAUTO2024-1-00144</t>
  </si>
  <si>
    <t xml:space="preserve">ZAAUTO2024-1-00145</t>
  </si>
  <si>
    <t xml:space="preserve">ZAAUTO2024-1-00146</t>
  </si>
  <si>
    <t xml:space="preserve">ZAAUTO2024-1-00147</t>
  </si>
  <si>
    <t xml:space="preserve">ZAAUTO2024-1-00148</t>
  </si>
  <si>
    <t xml:space="preserve">ZAAUTO2024-1-00149</t>
  </si>
  <si>
    <t xml:space="preserve">ZAAUTO2024-1-00150</t>
  </si>
  <si>
    <t xml:space="preserve">ZAAUTO2024-1-00151</t>
  </si>
  <si>
    <t xml:space="preserve">ZAAUTO2024-1-00152</t>
  </si>
  <si>
    <t xml:space="preserve">ZAAUTO2024-1-00153</t>
  </si>
  <si>
    <t xml:space="preserve">ZAAUTO2024-1-00154</t>
  </si>
  <si>
    <t xml:space="preserve">ZAAUTO2024-1-00155</t>
  </si>
  <si>
    <t xml:space="preserve">ZAAUTO2024-1-00156</t>
  </si>
  <si>
    <t xml:space="preserve">ZAAUTO2024-1-00157</t>
  </si>
  <si>
    <t xml:space="preserve">ZAAUTO2024-1-00158</t>
  </si>
  <si>
    <t xml:space="preserve">ZAAUTO2024-1-00159</t>
  </si>
  <si>
    <t xml:space="preserve">ZAAUTO2024-1-00160</t>
  </si>
  <si>
    <t xml:space="preserve">ZAAUTO2024-1-00161</t>
  </si>
  <si>
    <t xml:space="preserve">ZAAUTO2024-1-00162</t>
  </si>
  <si>
    <t xml:space="preserve">ZAAUTO2024-1-00163</t>
  </si>
  <si>
    <t xml:space="preserve">ZAAUTO2024-1-00164</t>
  </si>
  <si>
    <t xml:space="preserve">ZAAUTO2024-1-00165</t>
  </si>
  <si>
    <t xml:space="preserve">ZAAUTO2024-1-00166</t>
  </si>
  <si>
    <t xml:space="preserve">ZAAUTO2024-1-00167</t>
  </si>
  <si>
    <t xml:space="preserve">ZAAUTO2024-1-00168</t>
  </si>
  <si>
    <t xml:space="preserve">ZAAUTO2024-1-00169</t>
  </si>
  <si>
    <t xml:space="preserve">ZAAUTO2024-1-00170</t>
  </si>
  <si>
    <t xml:space="preserve">ZAAUTO2024-1-00171</t>
  </si>
  <si>
    <t xml:space="preserve">ZAAUTO2024-1-00172</t>
  </si>
  <si>
    <t xml:space="preserve">ZAAUTO2024-1-00173</t>
  </si>
  <si>
    <t xml:space="preserve">ZAAUTO2024-1-00174</t>
  </si>
  <si>
    <t xml:space="preserve">ZAAUTO2024-1-00175</t>
  </si>
  <si>
    <t xml:space="preserve">ZAAUTO2024-1-00176</t>
  </si>
  <si>
    <t xml:space="preserve">ZAAUTO2024-1-00177</t>
  </si>
  <si>
    <t xml:space="preserve">ZAAUTO2024-1-00178</t>
  </si>
  <si>
    <t xml:space="preserve">ZAAUTO2024-1-00179</t>
  </si>
  <si>
    <t xml:space="preserve">ZAAUTO2024-1-00180</t>
  </si>
  <si>
    <t xml:space="preserve">ZAAUTO2024-1-00181</t>
  </si>
  <si>
    <t xml:space="preserve">ZAAUTO2024-1-00182</t>
  </si>
  <si>
    <t xml:space="preserve">ZAAUTO2024-1-00183</t>
  </si>
  <si>
    <t xml:space="preserve">ZAAUTO2024-1-00184</t>
  </si>
  <si>
    <t xml:space="preserve">ZAAUTO2024-1-00185</t>
  </si>
  <si>
    <t xml:space="preserve">ZAAUTO2024-1-00186</t>
  </si>
  <si>
    <t xml:space="preserve">ZAAUTO2024-1-00187</t>
  </si>
  <si>
    <t xml:space="preserve">ZAAUTO2024-1-00188</t>
  </si>
  <si>
    <t xml:space="preserve">ZAAUTO2024-1-00189</t>
  </si>
  <si>
    <t xml:space="preserve">ZAAUTO2024-1-00190</t>
  </si>
  <si>
    <t xml:space="preserve">ZAAUTO2024-1-00191</t>
  </si>
  <si>
    <t xml:space="preserve">ZAAUTO2024-1-00192</t>
  </si>
  <si>
    <t xml:space="preserve">ZAAUTO2024-1-00193</t>
  </si>
  <si>
    <t xml:space="preserve">ZAAUTO2024-1-00194</t>
  </si>
  <si>
    <t xml:space="preserve">ZAAUTO2024-1-00195</t>
  </si>
  <si>
    <t xml:space="preserve">ZAAUTO2024-1-00196</t>
  </si>
  <si>
    <t xml:space="preserve">ZAAUTO2024-1-00197</t>
  </si>
  <si>
    <t xml:space="preserve">ZAAUTO2024-1-00198</t>
  </si>
  <si>
    <t xml:space="preserve">ZAAUTO2024-1-00199</t>
  </si>
  <si>
    <t xml:space="preserve">ZAAUTO2024-1-00200</t>
  </si>
  <si>
    <t xml:space="preserve">ZAAUTO2024-1-00201</t>
  </si>
  <si>
    <t xml:space="preserve">ZAAUTO2024-1-00202</t>
  </si>
  <si>
    <t xml:space="preserve">ZAAUTO2024-1-00203</t>
  </si>
  <si>
    <t xml:space="preserve">ZAAUTO2024-1-00204</t>
  </si>
  <si>
    <t xml:space="preserve">ZAAUTO2024-1-00205</t>
  </si>
  <si>
    <t xml:space="preserve">ZAAUTO2024-1-00206</t>
  </si>
  <si>
    <t xml:space="preserve">ZAAUTO2024-1-00207</t>
  </si>
  <si>
    <t xml:space="preserve">ZAAUTO2024-1-00208</t>
  </si>
  <si>
    <t xml:space="preserve">ZAAUTO2024-1-00209</t>
  </si>
  <si>
    <t xml:space="preserve">ZAAUTO2024-1-00210</t>
  </si>
  <si>
    <t xml:space="preserve">ZAAUTO2024-1-00211</t>
  </si>
  <si>
    <t xml:space="preserve">ZAAUTO2024-1-00212</t>
  </si>
  <si>
    <t xml:space="preserve">ZAAUTO2024-1-00213</t>
  </si>
  <si>
    <t xml:space="preserve">ZAAUTO2024-1-00214</t>
  </si>
  <si>
    <t xml:space="preserve">ZAAUTO2024-1-00215</t>
  </si>
  <si>
    <t xml:space="preserve">ZAAUTO2024-1-00216</t>
  </si>
  <si>
    <t xml:space="preserve">ZAAUTO2024-1-00217</t>
  </si>
  <si>
    <t xml:space="preserve">ZAAUTO2024-1-00218</t>
  </si>
  <si>
    <t xml:space="preserve">ZAAUTO2024-1-00219</t>
  </si>
  <si>
    <t xml:space="preserve">ZAAUTO2024-1-00220</t>
  </si>
  <si>
    <t xml:space="preserve">ZAAUTO2024-1-00221</t>
  </si>
  <si>
    <t xml:space="preserve">ZAAUTO2024-1-00222</t>
  </si>
  <si>
    <t xml:space="preserve">ZAAUTO2024-1-00223</t>
  </si>
  <si>
    <t xml:space="preserve">ZAAUTO2024-1-00224</t>
  </si>
  <si>
    <t xml:space="preserve">ZAAUTO2024-1-00225</t>
  </si>
  <si>
    <t xml:space="preserve">ZAAUTO2024-1-00226</t>
  </si>
  <si>
    <t xml:space="preserve">ZAAUTO2024-1-00227</t>
  </si>
  <si>
    <t xml:space="preserve">ZAAUTO2024-1-00228</t>
  </si>
  <si>
    <t xml:space="preserve">ZAAUTO2024-1-00229</t>
  </si>
  <si>
    <t xml:space="preserve">ZAAUTO2024-1-00230</t>
  </si>
  <si>
    <t xml:space="preserve">ZAAUTO2024-1-00231</t>
  </si>
  <si>
    <t xml:space="preserve">ZAAUTO2024-1-00232</t>
  </si>
  <si>
    <t xml:space="preserve">ZAAUTO2024-1-00233</t>
  </si>
  <si>
    <t xml:space="preserve">ZAAUTO2024-1-00234</t>
  </si>
  <si>
    <t xml:space="preserve">ZAAUTO2024-1-00235</t>
  </si>
  <si>
    <t xml:space="preserve">ZAAUTO2024-1-00236</t>
  </si>
  <si>
    <t xml:space="preserve">ZAAUTO2024-1-00237</t>
  </si>
  <si>
    <t xml:space="preserve">ZAAUTO2024-1-00238</t>
  </si>
  <si>
    <t xml:space="preserve">ZAAUTO2024-1-00239</t>
  </si>
  <si>
    <t xml:space="preserve">ZAAUTO2024-1-00240</t>
  </si>
  <si>
    <t xml:space="preserve">ZAAUTO2024-1-00241</t>
  </si>
  <si>
    <t xml:space="preserve">ZAAUTO2024-1-00242</t>
  </si>
  <si>
    <t xml:space="preserve">ZAAUTO2024-1-00243</t>
  </si>
  <si>
    <t xml:space="preserve">ZAAUTO2024-1-00244</t>
  </si>
  <si>
    <t xml:space="preserve">ZAAUTO2024-1-00245</t>
  </si>
  <si>
    <t xml:space="preserve">ZAAUTO2024-1-00246</t>
  </si>
  <si>
    <t xml:space="preserve">ZAAUTO2024-1-00247</t>
  </si>
  <si>
    <t xml:space="preserve">ZAAUTO2024-1-00248</t>
  </si>
  <si>
    <t xml:space="preserve">ZAAUTO2024-1-00249</t>
  </si>
  <si>
    <t xml:space="preserve">ZAAUTO2024-1-00250</t>
  </si>
  <si>
    <t xml:space="preserve">ZAAUTO2024-1-00251</t>
  </si>
  <si>
    <t xml:space="preserve">ZAAUTO2024-1-00252</t>
  </si>
  <si>
    <t xml:space="preserve">ZAAUTO2024-1-00253</t>
  </si>
  <si>
    <t xml:space="preserve">ZAAUTO2024-1-00254</t>
  </si>
  <si>
    <t xml:space="preserve">ZAAUTO2024-1-00255</t>
  </si>
  <si>
    <t xml:space="preserve">ZAAUTO2024-1-00256</t>
  </si>
  <si>
    <t xml:space="preserve">ZAAUTO2024-1-00257</t>
  </si>
  <si>
    <t xml:space="preserve">ZAAUTO2024-1-00258</t>
  </si>
  <si>
    <t xml:space="preserve">ZAAUTO2024-1-00259</t>
  </si>
  <si>
    <t xml:space="preserve">ZAAUTO2024-1-00260</t>
  </si>
  <si>
    <t xml:space="preserve">ZAAUTO2024-1-00261</t>
  </si>
  <si>
    <t xml:space="preserve">ZAAUTO2024-1-00262</t>
  </si>
  <si>
    <t xml:space="preserve">ZAAUTO2024-1-00263</t>
  </si>
  <si>
    <t xml:space="preserve">ZAAUTO2024-1-00264</t>
  </si>
  <si>
    <t xml:space="preserve">ZAAUTO2024-1-00265</t>
  </si>
  <si>
    <t xml:space="preserve">ZAAUTO2024-1-00266</t>
  </si>
  <si>
    <t xml:space="preserve">ZAAUTO2024-1-00267</t>
  </si>
  <si>
    <t xml:space="preserve">ZAAUTO2024-1-00268</t>
  </si>
  <si>
    <t xml:space="preserve">ZAAUTO2024-1-00269</t>
  </si>
  <si>
    <t xml:space="preserve">ZAAUTO2024-1-00270</t>
  </si>
  <si>
    <t xml:space="preserve">ZAAUTO2024-1-00271</t>
  </si>
  <si>
    <t xml:space="preserve">ZAAUTO2024-1-00272</t>
  </si>
  <si>
    <t xml:space="preserve">ZAAUTO2024-1-00273</t>
  </si>
  <si>
    <t xml:space="preserve">ZAAUTO2024-1-00274</t>
  </si>
  <si>
    <t xml:space="preserve">ZAAUTO2024-1-00275</t>
  </si>
  <si>
    <t xml:space="preserve">ZAAUTO2024-1-00276</t>
  </si>
  <si>
    <t xml:space="preserve">ZAAUTO2024-1-00277</t>
  </si>
  <si>
    <t xml:space="preserve">ZAAUTO2024-1-00278</t>
  </si>
  <si>
    <t xml:space="preserve">ZAAUTO2024-1-00279</t>
  </si>
  <si>
    <t xml:space="preserve">ZAAUTO2024-1-00280</t>
  </si>
  <si>
    <t xml:space="preserve">ZAAUTO2024-1-00281</t>
  </si>
  <si>
    <t xml:space="preserve">ZAAUTO2024-1-00282</t>
  </si>
  <si>
    <t xml:space="preserve">ZAAUTO2024-1-00283</t>
  </si>
  <si>
    <t xml:space="preserve">ZAAUTO2024-1-00284</t>
  </si>
  <si>
    <t xml:space="preserve">ZAAUTO2024-1-00285</t>
  </si>
  <si>
    <t xml:space="preserve">ZAAUTO2024-1-00286</t>
  </si>
  <si>
    <t xml:space="preserve">ZAAUTO2024-1-00287</t>
  </si>
  <si>
    <t xml:space="preserve">ZAAUTO2024-1-00288</t>
  </si>
  <si>
    <t xml:space="preserve">ZAAUTO2024-1-00289</t>
  </si>
  <si>
    <t xml:space="preserve">ZAAUTO2024-1-00290</t>
  </si>
  <si>
    <t xml:space="preserve">ZAAUTO2024-1-00291</t>
  </si>
  <si>
    <t xml:space="preserve">ZAAUTO2024-1-00292</t>
  </si>
  <si>
    <t xml:space="preserve">ZAAUTO2024-1-00293</t>
  </si>
  <si>
    <t xml:space="preserve">ZAAUTO2024-1-00294</t>
  </si>
  <si>
    <t xml:space="preserve">ZAAUTO2024-1-00295</t>
  </si>
  <si>
    <t xml:space="preserve">ZAAUTO2024-1-00296</t>
  </si>
  <si>
    <t xml:space="preserve">ZAAUTO2024-1-00297</t>
  </si>
  <si>
    <t xml:space="preserve">ZAAUTO2024-1-00298</t>
  </si>
  <si>
    <t xml:space="preserve">ZAAUTO2024-1-00299</t>
  </si>
  <si>
    <t xml:space="preserve">ZAAUTO2024-1-00300</t>
  </si>
  <si>
    <t xml:space="preserve">ZAAUTO2024-1-00301</t>
  </si>
  <si>
    <t xml:space="preserve">ZAAUTO2024-1-00302</t>
  </si>
  <si>
    <t xml:space="preserve">ZAAUTO2024-1-00303</t>
  </si>
  <si>
    <t xml:space="preserve">ZAAUTO2024-1-00304</t>
  </si>
  <si>
    <t xml:space="preserve">ZAAUTO2024-1-00305</t>
  </si>
  <si>
    <t xml:space="preserve">ZAAUTO2024-1-00306</t>
  </si>
  <si>
    <t xml:space="preserve">ZAAUTO2024-1-00307</t>
  </si>
  <si>
    <t xml:space="preserve">ZAAUTO2024-1-00308</t>
  </si>
  <si>
    <t xml:space="preserve">ZAAUTO2024-1-00309</t>
  </si>
  <si>
    <t xml:space="preserve">ZAAUTO2024-1-00310</t>
  </si>
  <si>
    <t xml:space="preserve">ZAAUTO2024-1-00311</t>
  </si>
  <si>
    <t xml:space="preserve">ZAAUTO2024-1-00312</t>
  </si>
  <si>
    <t xml:space="preserve">ZAAUTO2024-1-00313</t>
  </si>
  <si>
    <t xml:space="preserve">ZAAUTO2024-1-00314</t>
  </si>
  <si>
    <t xml:space="preserve">ZAAUTO2024-1-00315</t>
  </si>
  <si>
    <t xml:space="preserve">ZAAUTO2024-1-00316</t>
  </si>
  <si>
    <t xml:space="preserve">ZAAUTO2024-1-00317</t>
  </si>
  <si>
    <t xml:space="preserve">ZAAUTO2024-1-00318</t>
  </si>
  <si>
    <t xml:space="preserve">ZAAUTO2024-1-00319</t>
  </si>
  <si>
    <t xml:space="preserve">ZAAUTO2024-1-00320</t>
  </si>
  <si>
    <t xml:space="preserve">ZAAUTO2024-1-00321</t>
  </si>
  <si>
    <t xml:space="preserve">ZAAUTO2024-1-00322</t>
  </si>
  <si>
    <t xml:space="preserve">ZAAUTO2024-1-00323</t>
  </si>
  <si>
    <t xml:space="preserve">ZAAUTO2024-1-00324</t>
  </si>
  <si>
    <t xml:space="preserve">ZAAUTO2024-1-00325</t>
  </si>
  <si>
    <t xml:space="preserve">ZAAUTO2024-1-00326</t>
  </si>
  <si>
    <t xml:space="preserve">ZAAUTO2024-1-00327</t>
  </si>
  <si>
    <t xml:space="preserve">ZAAUTO2024-1-00328</t>
  </si>
  <si>
    <t xml:space="preserve">ZAAUTO2024-1-00329</t>
  </si>
  <si>
    <t xml:space="preserve">ZAAUTO2024-1-00330</t>
  </si>
  <si>
    <t xml:space="preserve">ZAAUTO2024-1-00331</t>
  </si>
  <si>
    <t xml:space="preserve">ZAAUTO2024-1-00332</t>
  </si>
  <si>
    <t xml:space="preserve">ZAAUTO2024-1-00333</t>
  </si>
  <si>
    <t xml:space="preserve">ZAAUTO2024-1-00334</t>
  </si>
  <si>
    <t xml:space="preserve">ZAAUTO2024-1-00335</t>
  </si>
  <si>
    <t xml:space="preserve">ZAAUTO2024-1-00336</t>
  </si>
  <si>
    <t xml:space="preserve">ZAAUTO2024-1-00337</t>
  </si>
  <si>
    <t xml:space="preserve">ZAAUTO2024-1-00338</t>
  </si>
  <si>
    <t xml:space="preserve">ZAAUTO2024-1-00339</t>
  </si>
  <si>
    <t xml:space="preserve">ZAAUTO2024-1-00340</t>
  </si>
  <si>
    <t xml:space="preserve">ZAAUTO2024-1-00341</t>
  </si>
  <si>
    <t xml:space="preserve">ZAAUTO2024-1-00342</t>
  </si>
  <si>
    <t xml:space="preserve">ZAAUTO2024-1-00343</t>
  </si>
  <si>
    <t xml:space="preserve">ZAAUTO2024-1-00344</t>
  </si>
  <si>
    <t xml:space="preserve">ZAAUTO2024-1-00345</t>
  </si>
  <si>
    <t xml:space="preserve">ZAAUTO2024-1-00346</t>
  </si>
  <si>
    <t xml:space="preserve">ZAAUTO2024-1-00347</t>
  </si>
  <si>
    <t xml:space="preserve">ZAAUTO2024-1-00348</t>
  </si>
  <si>
    <t xml:space="preserve">ZAAUTO2024-1-00349</t>
  </si>
  <si>
    <t xml:space="preserve">ZAAUTO2024-1-00350</t>
  </si>
  <si>
    <t xml:space="preserve">ZAAUTO2024-1-00351</t>
  </si>
  <si>
    <t xml:space="preserve">ZAAUTO2024-1-00352</t>
  </si>
  <si>
    <t xml:space="preserve">ZAAUTO2024-1-00353</t>
  </si>
  <si>
    <t xml:space="preserve">ZAAUTO2024-1-00354</t>
  </si>
  <si>
    <t xml:space="preserve">ZAAUTO2024-1-00355</t>
  </si>
  <si>
    <t xml:space="preserve">ZAAUTO2024-1-00356</t>
  </si>
  <si>
    <t xml:space="preserve">ZAAUTO2024-1-00357</t>
  </si>
  <si>
    <t xml:space="preserve">ZAAUTO2024-1-00358</t>
  </si>
  <si>
    <t xml:space="preserve">ZAAUTO2024-1-00359</t>
  </si>
  <si>
    <t xml:space="preserve">ZAAUTO2024-1-00360</t>
  </si>
  <si>
    <t xml:space="preserve">ZAAUTO2024-1-00361</t>
  </si>
  <si>
    <t xml:space="preserve">ZAAUTO2024-1-00362</t>
  </si>
  <si>
    <t xml:space="preserve">ZAAUTO2024-1-00363</t>
  </si>
  <si>
    <t xml:space="preserve">ZAAUTO2024-1-00364</t>
  </si>
  <si>
    <t xml:space="preserve">ZAAUTO2024-1-00365</t>
  </si>
  <si>
    <t xml:space="preserve">ZAAUTO2024-1-00366</t>
  </si>
  <si>
    <t xml:space="preserve">ZAAUTO2024-1-00367</t>
  </si>
  <si>
    <t xml:space="preserve">ZAAUTO2024-1-00368</t>
  </si>
  <si>
    <t xml:space="preserve">ZAAUTO2024-1-00369</t>
  </si>
  <si>
    <t xml:space="preserve">ZAAUTO2024-1-00370</t>
  </si>
  <si>
    <t xml:space="preserve">ZAAUTO2024-1-00371</t>
  </si>
  <si>
    <t xml:space="preserve">ZAAUTO2024-1-00372</t>
  </si>
  <si>
    <t xml:space="preserve">ZAAUTO2024-1-00373</t>
  </si>
  <si>
    <t xml:space="preserve">ZAAUTO2024-1-00374</t>
  </si>
  <si>
    <t xml:space="preserve">ZAAUTO2024-1-00375</t>
  </si>
  <si>
    <t xml:space="preserve">ZAAUTO2024-1-00376</t>
  </si>
  <si>
    <t xml:space="preserve">ZAAUTO2024-1-00377</t>
  </si>
  <si>
    <t xml:space="preserve">ZAAUTO2024-1-00378</t>
  </si>
  <si>
    <t xml:space="preserve">ZAAUTO2024-1-00379</t>
  </si>
  <si>
    <t xml:space="preserve">ZAAUTO2024-1-00380</t>
  </si>
  <si>
    <t xml:space="preserve">ZAAUTO2024-1-00381</t>
  </si>
  <si>
    <t xml:space="preserve">ZAAUTO2024-1-00382</t>
  </si>
  <si>
    <t xml:space="preserve">ZAAUTO2024-1-00383</t>
  </si>
  <si>
    <t xml:space="preserve">ZAAUTO2024-1-00384</t>
  </si>
  <si>
    <t xml:space="preserve">ZAAUTO2024-1-00385</t>
  </si>
  <si>
    <t xml:space="preserve">ZAAUTO2024-1-00386</t>
  </si>
  <si>
    <t xml:space="preserve">ZAAUTO2024-1-00387</t>
  </si>
  <si>
    <t xml:space="preserve">ZAAUTO2024-1-00388</t>
  </si>
  <si>
    <t xml:space="preserve">ZAAUTO2024-1-00389</t>
  </si>
  <si>
    <t xml:space="preserve">ZAAUTO2024-1-00390</t>
  </si>
  <si>
    <t xml:space="preserve">ZAAUTO2024-1-00391</t>
  </si>
  <si>
    <t xml:space="preserve">ZAAUTO2024-1-00392</t>
  </si>
  <si>
    <t xml:space="preserve">ZAAUTO2024-1-00393</t>
  </si>
  <si>
    <t xml:space="preserve">ZAAUTO2024-1-00394</t>
  </si>
  <si>
    <t xml:space="preserve">ZAAUTO2024-1-00395</t>
  </si>
  <si>
    <t xml:space="preserve">ZAAUTO2024-1-00396</t>
  </si>
  <si>
    <t xml:space="preserve">ZAAUTO2024-1-00397</t>
  </si>
  <si>
    <t xml:space="preserve">ZAAUTO2024-1-00398</t>
  </si>
  <si>
    <t xml:space="preserve">ZAAUTO2024-1-00399</t>
  </si>
  <si>
    <t xml:space="preserve">ZAAUTO2024-1-00400</t>
  </si>
  <si>
    <t xml:space="preserve">ZAAUTO2024-1-00401</t>
  </si>
  <si>
    <t xml:space="preserve">ZAAUTO2024-1-00402</t>
  </si>
  <si>
    <t xml:space="preserve">ZAAUTO2024-1-00403</t>
  </si>
  <si>
    <t xml:space="preserve">ZAAUTO2024-1-00404</t>
  </si>
  <si>
    <t xml:space="preserve">ZAAUTO2024-1-00405</t>
  </si>
  <si>
    <t xml:space="preserve">ZAAUTO2024-1-00406</t>
  </si>
  <si>
    <t xml:space="preserve">ZAAUTO2024-1-00407</t>
  </si>
  <si>
    <t xml:space="preserve">ZAAUTO2024-1-00408</t>
  </si>
  <si>
    <t xml:space="preserve">ZAAUTO2024-1-00409</t>
  </si>
  <si>
    <t xml:space="preserve">ZAAUTO2024-1-00410</t>
  </si>
  <si>
    <t xml:space="preserve">ZAAUTO2024-1-00411</t>
  </si>
  <si>
    <t xml:space="preserve">ZAAUTO2024-1-00412</t>
  </si>
  <si>
    <t xml:space="preserve">ZAAUTO2024-1-00413</t>
  </si>
  <si>
    <t xml:space="preserve">ZAAUTO2024-1-00414</t>
  </si>
  <si>
    <t xml:space="preserve">ZAAUTO2024-1-00415</t>
  </si>
  <si>
    <t xml:space="preserve">ZAAUTO2024-1-00416</t>
  </si>
  <si>
    <t xml:space="preserve">ZAAUTO2024-1-00417</t>
  </si>
  <si>
    <t xml:space="preserve">ZAAUTO2024-1-00418</t>
  </si>
  <si>
    <t xml:space="preserve">ZAAUTO2024-1-00419</t>
  </si>
  <si>
    <t xml:space="preserve">ZAAUTO2024-1-00420</t>
  </si>
  <si>
    <t xml:space="preserve">ZAAUTO2024-1-00421</t>
  </si>
  <si>
    <t xml:space="preserve">ZAAUTO2024-1-00422</t>
  </si>
  <si>
    <t xml:space="preserve">ZAAUTO2024-1-00423</t>
  </si>
  <si>
    <t xml:space="preserve">ZAAUTO2024-1-00424</t>
  </si>
  <si>
    <t xml:space="preserve">ZAAUTO2024-1-00425</t>
  </si>
  <si>
    <t xml:space="preserve">ZAAUTO2024-1-00426</t>
  </si>
  <si>
    <t xml:space="preserve">ZAAUTO2024-1-00427</t>
  </si>
  <si>
    <t xml:space="preserve">ZAAUTO2024-1-00428</t>
  </si>
  <si>
    <t xml:space="preserve">ZAAUTO2024-1-00429</t>
  </si>
  <si>
    <t xml:space="preserve">ZAAUTO2024-1-00430</t>
  </si>
  <si>
    <t xml:space="preserve">ZAAUTO2024-1-00431</t>
  </si>
  <si>
    <t xml:space="preserve">ZAAUTO2024-1-00432</t>
  </si>
  <si>
    <t xml:space="preserve">ZAAUTO2024-1-00433</t>
  </si>
  <si>
    <t xml:space="preserve">ZAAUTO2024-1-00434</t>
  </si>
  <si>
    <t xml:space="preserve">ZAAUTO2024-1-00435</t>
  </si>
  <si>
    <t xml:space="preserve">ZAAUTO2024-1-00436</t>
  </si>
  <si>
    <t xml:space="preserve">ZAAUTO2024-1-00437</t>
  </si>
  <si>
    <t xml:space="preserve">ZAAUTO2024-1-00438</t>
  </si>
  <si>
    <t xml:space="preserve">ZAAUTO2024-1-00439</t>
  </si>
  <si>
    <t xml:space="preserve">ZAAUTO2024-1-00440</t>
  </si>
  <si>
    <t xml:space="preserve">ZAAUTO2024-1-00441</t>
  </si>
  <si>
    <t xml:space="preserve">ZAAUTO2024-1-00442</t>
  </si>
  <si>
    <t xml:space="preserve">ZAAUTO2024-1-00443</t>
  </si>
  <si>
    <t xml:space="preserve">ZAAUTO2024-1-00444</t>
  </si>
  <si>
    <t xml:space="preserve">ZAAUTO2024-1-00445</t>
  </si>
  <si>
    <t xml:space="preserve">ZAAUTO2024-1-00446</t>
  </si>
  <si>
    <t xml:space="preserve">ZAAUTO2024-1-00447</t>
  </si>
  <si>
    <t xml:space="preserve">ZAAUTO2024-1-00448</t>
  </si>
  <si>
    <t xml:space="preserve">ZAAUTO2024-1-00449</t>
  </si>
  <si>
    <t xml:space="preserve">ZAAUTO2024-1-00450</t>
  </si>
  <si>
    <t xml:space="preserve">ZAAUTO2024-1-00451</t>
  </si>
  <si>
    <t xml:space="preserve">ZAAUTO2024-1-00452</t>
  </si>
  <si>
    <t xml:space="preserve">ZAAUTO2024-1-00453</t>
  </si>
  <si>
    <t xml:space="preserve">ZAAUTO2024-1-00454</t>
  </si>
  <si>
    <t xml:space="preserve">ZAAUTO2024-1-00455</t>
  </si>
  <si>
    <t xml:space="preserve">ZAAUTO2024-1-00456</t>
  </si>
  <si>
    <t xml:space="preserve">ZAAUTO2024-1-00457</t>
  </si>
  <si>
    <t xml:space="preserve">ZAAUTO2024-1-00458</t>
  </si>
  <si>
    <t xml:space="preserve">ZAAUTO2024-1-00459</t>
  </si>
  <si>
    <t xml:space="preserve">ZAAUTO2024-1-00460</t>
  </si>
  <si>
    <t xml:space="preserve">ZAAUTO2024-1-00461</t>
  </si>
  <si>
    <t xml:space="preserve">ZAAUTO2024-1-00462</t>
  </si>
  <si>
    <t xml:space="preserve">ZAAUTO2024-1-00463</t>
  </si>
  <si>
    <t xml:space="preserve">ZAAUTO2024-1-00464</t>
  </si>
  <si>
    <t xml:space="preserve">ZAAUTO2024-1-00465</t>
  </si>
  <si>
    <t xml:space="preserve">ZAAUTO2024-1-00466</t>
  </si>
  <si>
    <t xml:space="preserve">ZAAUTO2024-1-00467</t>
  </si>
  <si>
    <t xml:space="preserve">ZAAUTO2024-1-00468</t>
  </si>
  <si>
    <t xml:space="preserve">ZAAUTO2024-1-00469</t>
  </si>
  <si>
    <t xml:space="preserve">ZAAUTO2024-1-00470</t>
  </si>
  <si>
    <t xml:space="preserve">ZAAUTO2024-1-00471</t>
  </si>
  <si>
    <t xml:space="preserve">ZAAUTO2024-1-00472</t>
  </si>
  <si>
    <t xml:space="preserve">ZAAUTO2024-1-00473</t>
  </si>
  <si>
    <t xml:space="preserve">ZAAUTO2024-1-00474</t>
  </si>
  <si>
    <t xml:space="preserve">ZAAUTO2024-1-00475</t>
  </si>
  <si>
    <t xml:space="preserve">ZAAUTO2024-1-00476</t>
  </si>
  <si>
    <t xml:space="preserve">ZAAUTO2024-1-00477</t>
  </si>
  <si>
    <t xml:space="preserve">ZAAUTO2024-1-00478</t>
  </si>
  <si>
    <t xml:space="preserve">ZAAUTO2024-1-00479</t>
  </si>
  <si>
    <t xml:space="preserve">ZAAUTO2024-1-00480</t>
  </si>
  <si>
    <t xml:space="preserve">ZAAUTO2024-1-00481</t>
  </si>
  <si>
    <t xml:space="preserve">ZAAUTO2024-1-00482</t>
  </si>
  <si>
    <t xml:space="preserve">ZAAUTO2024-1-00483</t>
  </si>
  <si>
    <t xml:space="preserve">ZAAUTO2024-1-00484</t>
  </si>
  <si>
    <t xml:space="preserve">ZAAUTO2024-1-00485</t>
  </si>
  <si>
    <t xml:space="preserve">ZAAUTO2024-1-00486</t>
  </si>
  <si>
    <t xml:space="preserve">ZAAUTO2024-1-00487</t>
  </si>
  <si>
    <t xml:space="preserve">ZAAUTO2024-1-00488</t>
  </si>
  <si>
    <t xml:space="preserve">ZAAUTO2024-1-00489</t>
  </si>
  <si>
    <t xml:space="preserve">ZAAUTO2024-1-00490</t>
  </si>
  <si>
    <t xml:space="preserve">ZAAUTO2024-1-00491</t>
  </si>
  <si>
    <t xml:space="preserve">ZAAUTO2024-1-00492</t>
  </si>
  <si>
    <t xml:space="preserve">ZAAUTO2024-1-00493</t>
  </si>
  <si>
    <t xml:space="preserve">ZAAUTO2024-1-00494</t>
  </si>
  <si>
    <t xml:space="preserve">ZAAUTO2024-1-00495</t>
  </si>
  <si>
    <t xml:space="preserve">ZAAUTO2024-1-00496</t>
  </si>
  <si>
    <t xml:space="preserve">ZAAUTO2024-1-00497</t>
  </si>
  <si>
    <t xml:space="preserve">ZAAUTO2024-1-00498</t>
  </si>
  <si>
    <t xml:space="preserve">ZAAUTO2024-1-00499</t>
  </si>
  <si>
    <t xml:space="preserve">ZAAUTO2024-1-00500</t>
  </si>
  <si>
    <t xml:space="preserve">TOTAL</t>
  </si>
  <si>
    <t xml:space="preserve">Stage-Level ECL Roll-Up</t>
  </si>
  <si>
    <t xml:space="preserve">Excel formula totals vs. Python-pipeline output (Cr = crore = 10⁷ ₹)</t>
  </si>
  <si>
    <t xml:space="preserve">Stage</t>
  </si>
  <si>
    <t xml:space="preserve">Loan Count</t>
  </si>
  <si>
    <t xml:space="preserve">Current Balance (₹ Cr)</t>
  </si>
  <si>
    <t xml:space="preserve">EAD (₹ Cr)</t>
  </si>
  <si>
    <t xml:space="preserve">ECL (₹ Cr)</t>
  </si>
  <si>
    <t xml:space="preserve">Coverage %</t>
  </si>
  <si>
    <t xml:space="preserve">Stage 1</t>
  </si>
  <si>
    <t xml:space="preserve">Stage 2</t>
  </si>
  <si>
    <t xml:space="preserve">Stage 3</t>
  </si>
  <si>
    <t xml:space="preserve">Pipeline vs. Excel Cross-Check</t>
  </si>
  <si>
    <t xml:space="preserve">Differences should be effectively zero (rounding only).</t>
  </si>
  <si>
    <t xml:space="preserve">Metric</t>
  </si>
  <si>
    <t xml:space="preserve">Pipeline (Python)</t>
  </si>
  <si>
    <t xml:space="preserve">Excel Cross-Check</t>
  </si>
  <si>
    <t xml:space="preserve">Delta</t>
  </si>
  <si>
    <t xml:space="preserve">Tolerance</t>
  </si>
  <si>
    <t xml:space="preserve">Status</t>
  </si>
  <si>
    <t xml:space="preserve">Loan count</t>
  </si>
  <si>
    <t xml:space="preserve">Current balance (₹ Cr)</t>
  </si>
  <si>
    <t xml:space="preserve">Total EAD (₹ Cr)</t>
  </si>
  <si>
    <t xml:space="preserve">Total ECL (₹ Cr)</t>
  </si>
  <si>
    <t xml:space="preserve">ECL Coverage %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</si>
</sst>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;\(#,##0.00\);\-"/>
    <numFmt numFmtId="166" formatCode="0.0000"/>
    <numFmt numFmtId="167" formatCode="0.00"/>
    <numFmt numFmtId="168" formatCode="#,##0"/>
    <numFmt numFmtId="169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761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64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3" min="3" style="0" width="21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29"/>
    <col collapsed="false" customWidth="true" hidden="false" outlineLevel="0" max="9" min="8" style="0" width="21"/>
    <col collapsed="false" customWidth="true" hidden="false" outlineLevel="0" max="10" min="10" style="0" width="25"/>
    <col collapsed="false" customWidth="true" hidden="false" outlineLevel="0" max="11" min="11" style="0" width="26"/>
    <col collapsed="false" customWidth="true" hidden="false" outlineLevel="0" max="12" min="12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4" t="n">
        <v>1</v>
      </c>
      <c r="C5" s="5" t="n">
        <v>735638.03</v>
      </c>
      <c r="D5" s="5" t="n">
        <v>741356.86</v>
      </c>
      <c r="E5" s="6" t="n">
        <v>0.0224</v>
      </c>
      <c r="F5" s="7" t="n">
        <v>0.4521</v>
      </c>
      <c r="G5" s="8" t="n">
        <f aca="false">MIN(75, MAX(25, F5*100))</f>
        <v>45.21</v>
      </c>
      <c r="H5" s="9" t="n">
        <f aca="false">E5*G5*D5/100</f>
        <v>7507.7505754944</v>
      </c>
      <c r="I5" s="9" t="n">
        <f aca="false">E5*G5*D5/100</f>
        <v>7507.7505754944</v>
      </c>
      <c r="J5" s="9" t="n">
        <f aca="false">IF(B5=1, H5, I5)</f>
        <v>7507.7505754944</v>
      </c>
      <c r="K5" s="5" t="n">
        <v>7507.75</v>
      </c>
      <c r="L5" s="9" t="n">
        <f aca="false">J5-K5</f>
        <v>0.000575494400436583</v>
      </c>
    </row>
    <row r="6" customFormat="false" ht="15" hidden="false" customHeight="false" outlineLevel="0" collapsed="false">
      <c r="A6" s="4" t="s">
        <v>15</v>
      </c>
      <c r="B6" s="4" t="n">
        <v>1</v>
      </c>
      <c r="C6" s="5" t="n">
        <v>681358.32</v>
      </c>
      <c r="D6" s="5" t="n">
        <v>683790.85</v>
      </c>
      <c r="E6" s="6" t="n">
        <v>0.0224</v>
      </c>
      <c r="F6" s="7" t="n">
        <v>0.5551</v>
      </c>
      <c r="G6" s="8" t="n">
        <f aca="false">MIN(75, MAX(25, F6*100))</f>
        <v>55.51</v>
      </c>
      <c r="H6" s="9" t="n">
        <f aca="false">E6*G6*D6/100</f>
        <v>8502.419538704</v>
      </c>
      <c r="I6" s="9" t="n">
        <f aca="false">E6*G6*D6/100</f>
        <v>8502.419538704</v>
      </c>
      <c r="J6" s="9" t="n">
        <f aca="false">IF(B6=1, H6, I6)</f>
        <v>8502.419538704</v>
      </c>
      <c r="K6" s="5" t="n">
        <v>8502.42</v>
      </c>
      <c r="L6" s="9" t="n">
        <f aca="false">J6-K6</f>
        <v>-0.000461296000139555</v>
      </c>
    </row>
    <row r="7" customFormat="false" ht="15" hidden="false" customHeight="false" outlineLevel="0" collapsed="false">
      <c r="A7" s="4" t="s">
        <v>16</v>
      </c>
      <c r="B7" s="4" t="n">
        <v>1</v>
      </c>
      <c r="C7" s="5" t="n">
        <v>292993.88</v>
      </c>
      <c r="D7" s="5" t="n">
        <v>300458.28</v>
      </c>
      <c r="E7" s="6" t="n">
        <v>0.0166</v>
      </c>
      <c r="F7" s="7" t="n">
        <v>0.6493</v>
      </c>
      <c r="G7" s="8" t="n">
        <f aca="false">MIN(75, MAX(25, F7*100))</f>
        <v>64.93</v>
      </c>
      <c r="H7" s="9" t="n">
        <f aca="false">E7*G7*D7/100</f>
        <v>3238.4535159864</v>
      </c>
      <c r="I7" s="9" t="n">
        <f aca="false">E7*G7*D7/100</f>
        <v>3238.4535159864</v>
      </c>
      <c r="J7" s="9" t="n">
        <f aca="false">IF(B7=1, H7, I7)</f>
        <v>3238.4535159864</v>
      </c>
      <c r="K7" s="5" t="n">
        <v>3238.45</v>
      </c>
      <c r="L7" s="9" t="n">
        <f aca="false">J7-K7</f>
        <v>0.00351598640008888</v>
      </c>
    </row>
    <row r="8" customFormat="false" ht="15" hidden="false" customHeight="false" outlineLevel="0" collapsed="false">
      <c r="A8" s="4" t="s">
        <v>17</v>
      </c>
      <c r="B8" s="4" t="n">
        <v>1</v>
      </c>
      <c r="C8" s="5" t="n">
        <v>1014259.22</v>
      </c>
      <c r="D8" s="5" t="n">
        <v>1024346.59</v>
      </c>
      <c r="E8" s="6" t="n">
        <v>0.0241</v>
      </c>
      <c r="F8" s="7" t="n">
        <v>0.5023</v>
      </c>
      <c r="G8" s="8" t="n">
        <f aca="false">MIN(75, MAX(25, F8*100))</f>
        <v>50.23</v>
      </c>
      <c r="H8" s="9" t="n">
        <f aca="false">E8*G8*D8/100</f>
        <v>12400.1559409837</v>
      </c>
      <c r="I8" s="9" t="n">
        <f aca="false">E8*G8*D8/100</f>
        <v>12400.1559409837</v>
      </c>
      <c r="J8" s="9" t="n">
        <f aca="false">IF(B8=1, H8, I8)</f>
        <v>12400.1559409837</v>
      </c>
      <c r="K8" s="5" t="n">
        <v>12400.16</v>
      </c>
      <c r="L8" s="9" t="n">
        <f aca="false">J8-K8</f>
        <v>-0.00405901630074368</v>
      </c>
    </row>
    <row r="9" customFormat="false" ht="15" hidden="false" customHeight="false" outlineLevel="0" collapsed="false">
      <c r="A9" s="4" t="s">
        <v>18</v>
      </c>
      <c r="B9" s="4" t="n">
        <v>1</v>
      </c>
      <c r="C9" s="5" t="n">
        <v>0</v>
      </c>
      <c r="D9" s="5" t="n">
        <v>0</v>
      </c>
      <c r="E9" s="6" t="n">
        <v>0.0193</v>
      </c>
      <c r="F9" s="7" t="n">
        <v>0.5053</v>
      </c>
      <c r="G9" s="8" t="n">
        <f aca="false">MIN(75, MAX(25, F9*100))</f>
        <v>50.53</v>
      </c>
      <c r="H9" s="9" t="n">
        <f aca="false">E9*G9*D9/100</f>
        <v>0</v>
      </c>
      <c r="I9" s="9" t="n">
        <f aca="false">E9*G9*D9/100</f>
        <v>0</v>
      </c>
      <c r="J9" s="9" t="n">
        <f aca="false">IF(B9=1, H9, I9)</f>
        <v>0</v>
      </c>
      <c r="K9" s="5" t="n">
        <v>0</v>
      </c>
      <c r="L9" s="9" t="n">
        <f aca="false">J9-K9</f>
        <v>0</v>
      </c>
    </row>
    <row r="10" customFormat="false" ht="15" hidden="false" customHeight="false" outlineLevel="0" collapsed="false">
      <c r="A10" s="4" t="s">
        <v>19</v>
      </c>
      <c r="B10" s="4" t="n">
        <v>1</v>
      </c>
      <c r="C10" s="5" t="n">
        <v>472100</v>
      </c>
      <c r="D10" s="5" t="n">
        <v>490997.99</v>
      </c>
      <c r="E10" s="6" t="n">
        <v>0.0147</v>
      </c>
      <c r="F10" s="7" t="n">
        <v>0.5685</v>
      </c>
      <c r="G10" s="8" t="n">
        <f aca="false">MIN(75, MAX(25, F10*100))</f>
        <v>56.85</v>
      </c>
      <c r="H10" s="9" t="n">
        <f aca="false">E10*G10*D10/100</f>
        <v>4103.2456525305</v>
      </c>
      <c r="I10" s="9" t="n">
        <f aca="false">E10*G10*D10/100</f>
        <v>4103.2456525305</v>
      </c>
      <c r="J10" s="9" t="n">
        <f aca="false">IF(B10=1, H10, I10)</f>
        <v>4103.2456525305</v>
      </c>
      <c r="K10" s="5" t="n">
        <v>4103.25</v>
      </c>
      <c r="L10" s="9" t="n">
        <f aca="false">J10-K10</f>
        <v>-0.00434746950031695</v>
      </c>
    </row>
    <row r="11" customFormat="false" ht="15" hidden="false" customHeight="false" outlineLevel="0" collapsed="false">
      <c r="A11" s="4" t="s">
        <v>20</v>
      </c>
      <c r="B11" s="4" t="n">
        <v>1</v>
      </c>
      <c r="C11" s="5" t="n">
        <v>582956.54</v>
      </c>
      <c r="D11" s="5" t="n">
        <v>611192.31</v>
      </c>
      <c r="E11" s="6" t="n">
        <v>0.0159</v>
      </c>
      <c r="F11" s="7" t="n">
        <v>0.439</v>
      </c>
      <c r="G11" s="8" t="n">
        <f aca="false">MIN(75, MAX(25, F11*100))</f>
        <v>43.9</v>
      </c>
      <c r="H11" s="9" t="n">
        <f aca="false">E11*G11*D11/100</f>
        <v>4266.183443031</v>
      </c>
      <c r="I11" s="9" t="n">
        <f aca="false">E11*G11*D11/100</f>
        <v>4266.183443031</v>
      </c>
      <c r="J11" s="9" t="n">
        <f aca="false">IF(B11=1, H11, I11)</f>
        <v>4266.183443031</v>
      </c>
      <c r="K11" s="5" t="n">
        <v>4266.18</v>
      </c>
      <c r="L11" s="9" t="n">
        <f aca="false">J11-K11</f>
        <v>0.0034430310006428</v>
      </c>
    </row>
    <row r="12" customFormat="false" ht="15" hidden="false" customHeight="false" outlineLevel="0" collapsed="false">
      <c r="A12" s="4" t="s">
        <v>21</v>
      </c>
      <c r="B12" s="4" t="n">
        <v>2</v>
      </c>
      <c r="C12" s="5" t="n">
        <v>300330.4</v>
      </c>
      <c r="D12" s="5" t="n">
        <v>315288.3</v>
      </c>
      <c r="E12" s="6" t="n">
        <v>0.117</v>
      </c>
      <c r="F12" s="7" t="n">
        <v>0.6495</v>
      </c>
      <c r="G12" s="8" t="n">
        <f aca="false">MIN(75, MAX(25, F12*100))</f>
        <v>64.95</v>
      </c>
      <c r="H12" s="9" t="n">
        <f aca="false">E12*G12*D12/100</f>
        <v>23959.23084945</v>
      </c>
      <c r="I12" s="9" t="n">
        <f aca="false">E12*G12*D12/100</f>
        <v>23959.23084945</v>
      </c>
      <c r="J12" s="9" t="n">
        <f aca="false">IF(B12=1, H12, I12)</f>
        <v>23959.23084945</v>
      </c>
      <c r="K12" s="5" t="n">
        <v>23959.23</v>
      </c>
      <c r="L12" s="9" t="n">
        <f aca="false">J12-K12</f>
        <v>0.000849450003443053</v>
      </c>
    </row>
    <row r="13" customFormat="false" ht="15" hidden="false" customHeight="false" outlineLevel="0" collapsed="false">
      <c r="A13" s="4" t="s">
        <v>22</v>
      </c>
      <c r="B13" s="4" t="n">
        <v>1</v>
      </c>
      <c r="C13" s="5" t="n">
        <v>803444.42</v>
      </c>
      <c r="D13" s="5" t="n">
        <v>805215.48</v>
      </c>
      <c r="E13" s="6" t="n">
        <v>0.0216</v>
      </c>
      <c r="F13" s="7" t="n">
        <v>0.5988</v>
      </c>
      <c r="G13" s="8" t="n">
        <f aca="false">MIN(75, MAX(25, F13*100))</f>
        <v>59.88</v>
      </c>
      <c r="H13" s="9" t="n">
        <f aca="false">E13*G13*D13/100</f>
        <v>10414.7214355584</v>
      </c>
      <c r="I13" s="9" t="n">
        <f aca="false">E13*G13*D13/100</f>
        <v>10414.7214355584</v>
      </c>
      <c r="J13" s="9" t="n">
        <f aca="false">IF(B13=1, H13, I13)</f>
        <v>10414.7214355584</v>
      </c>
      <c r="K13" s="5" t="n">
        <v>10414.72</v>
      </c>
      <c r="L13" s="9" t="n">
        <f aca="false">J13-K13</f>
        <v>0.0014355584007717</v>
      </c>
    </row>
    <row r="14" customFormat="false" ht="15" hidden="false" customHeight="false" outlineLevel="0" collapsed="false">
      <c r="A14" s="4" t="s">
        <v>23</v>
      </c>
      <c r="B14" s="4" t="n">
        <v>3</v>
      </c>
      <c r="C14" s="5" t="n">
        <v>221104.02</v>
      </c>
      <c r="D14" s="5" t="n">
        <v>230067.02</v>
      </c>
      <c r="E14" s="6" t="n">
        <v>1</v>
      </c>
      <c r="F14" s="7" t="n">
        <v>0.6092</v>
      </c>
      <c r="G14" s="8" t="n">
        <f aca="false">MIN(75, MAX(25, F14*100))</f>
        <v>60.92</v>
      </c>
      <c r="H14" s="9" t="n">
        <f aca="false">E14*G14*D14/100</f>
        <v>140156.828584</v>
      </c>
      <c r="I14" s="9" t="n">
        <f aca="false">E14*G14*D14/100</f>
        <v>140156.828584</v>
      </c>
      <c r="J14" s="9" t="n">
        <f aca="false">IF(B14=1, H14, I14)</f>
        <v>140156.828584</v>
      </c>
      <c r="K14" s="5" t="n">
        <v>140156.83</v>
      </c>
      <c r="L14" s="9" t="n">
        <f aca="false">J14-K14</f>
        <v>-0.00141600001370534</v>
      </c>
    </row>
    <row r="15" customFormat="false" ht="15" hidden="false" customHeight="false" outlineLevel="0" collapsed="false">
      <c r="A15" s="4" t="s">
        <v>24</v>
      </c>
      <c r="B15" s="4" t="n">
        <v>2</v>
      </c>
      <c r="C15" s="5" t="n">
        <v>455218.15</v>
      </c>
      <c r="D15" s="5" t="n">
        <v>461015.87</v>
      </c>
      <c r="E15" s="6" t="n">
        <v>0.1117</v>
      </c>
      <c r="F15" s="7" t="n">
        <v>0.523</v>
      </c>
      <c r="G15" s="8" t="n">
        <f aca="false">MIN(75, MAX(25, F15*100))</f>
        <v>52.3</v>
      </c>
      <c r="H15" s="9" t="n">
        <f aca="false">E15*G15*D15/100</f>
        <v>26932.132211117</v>
      </c>
      <c r="I15" s="9" t="n">
        <f aca="false">E15*G15*D15/100</f>
        <v>26932.132211117</v>
      </c>
      <c r="J15" s="9" t="n">
        <f aca="false">IF(B15=1, H15, I15)</f>
        <v>26932.132211117</v>
      </c>
      <c r="K15" s="5" t="n">
        <v>26932.13</v>
      </c>
      <c r="L15" s="9" t="n">
        <f aca="false">J15-K15</f>
        <v>0.00221111700011534</v>
      </c>
    </row>
    <row r="16" customFormat="false" ht="15" hidden="false" customHeight="false" outlineLevel="0" collapsed="false">
      <c r="A16" s="4" t="s">
        <v>25</v>
      </c>
      <c r="B16" s="4" t="n">
        <v>1</v>
      </c>
      <c r="C16" s="5" t="n">
        <v>203824.87</v>
      </c>
      <c r="D16" s="5" t="n">
        <v>206002.75</v>
      </c>
      <c r="E16" s="6" t="n">
        <v>0.0196</v>
      </c>
      <c r="F16" s="7" t="n">
        <v>0.4826</v>
      </c>
      <c r="G16" s="8" t="n">
        <f aca="false">MIN(75, MAX(25, F16*100))</f>
        <v>48.26</v>
      </c>
      <c r="H16" s="9" t="n">
        <f aca="false">E16*G16*D16/100</f>
        <v>1948.57177214</v>
      </c>
      <c r="I16" s="9" t="n">
        <f aca="false">E16*G16*D16/100</f>
        <v>1948.57177214</v>
      </c>
      <c r="J16" s="9" t="n">
        <f aca="false">IF(B16=1, H16, I16)</f>
        <v>1948.57177214</v>
      </c>
      <c r="K16" s="5" t="n">
        <v>1948.57</v>
      </c>
      <c r="L16" s="9" t="n">
        <f aca="false">J16-K16</f>
        <v>0.00177213999995729</v>
      </c>
    </row>
    <row r="17" customFormat="false" ht="15" hidden="false" customHeight="false" outlineLevel="0" collapsed="false">
      <c r="A17" s="4" t="s">
        <v>26</v>
      </c>
      <c r="B17" s="4" t="n">
        <v>1</v>
      </c>
      <c r="C17" s="5" t="n">
        <v>311026.19</v>
      </c>
      <c r="D17" s="5" t="n">
        <v>324218.93</v>
      </c>
      <c r="E17" s="6" t="n">
        <v>0.0146</v>
      </c>
      <c r="F17" s="7" t="n">
        <v>0.4248</v>
      </c>
      <c r="G17" s="8" t="n">
        <f aca="false">MIN(75, MAX(25, F17*100))</f>
        <v>42.48</v>
      </c>
      <c r="H17" s="9" t="n">
        <f aca="false">E17*G17*D17/100</f>
        <v>2010.8317413744</v>
      </c>
      <c r="I17" s="9" t="n">
        <f aca="false">E17*G17*D17/100</f>
        <v>2010.8317413744</v>
      </c>
      <c r="J17" s="9" t="n">
        <f aca="false">IF(B17=1, H17, I17)</f>
        <v>2010.8317413744</v>
      </c>
      <c r="K17" s="5" t="n">
        <v>2010.83</v>
      </c>
      <c r="L17" s="9" t="n">
        <f aca="false">J17-K17</f>
        <v>0.00174137440012601</v>
      </c>
    </row>
    <row r="18" customFormat="false" ht="15" hidden="false" customHeight="false" outlineLevel="0" collapsed="false">
      <c r="A18" s="4" t="s">
        <v>27</v>
      </c>
      <c r="B18" s="4" t="n">
        <v>1</v>
      </c>
      <c r="C18" s="5" t="n">
        <v>615120.62</v>
      </c>
      <c r="D18" s="5" t="n">
        <v>627656.76</v>
      </c>
      <c r="E18" s="6" t="n">
        <v>0.0225</v>
      </c>
      <c r="F18" s="7" t="n">
        <v>0.3693</v>
      </c>
      <c r="G18" s="8" t="n">
        <f aca="false">MIN(75, MAX(25, F18*100))</f>
        <v>36.93</v>
      </c>
      <c r="H18" s="9" t="n">
        <f aca="false">E18*G18*D18/100</f>
        <v>5215.35693303</v>
      </c>
      <c r="I18" s="9" t="n">
        <f aca="false">E18*G18*D18/100</f>
        <v>5215.35693303</v>
      </c>
      <c r="J18" s="9" t="n">
        <f aca="false">IF(B18=1, H18, I18)</f>
        <v>5215.35693303</v>
      </c>
      <c r="K18" s="5" t="n">
        <v>5215.36</v>
      </c>
      <c r="L18" s="9" t="n">
        <f aca="false">J18-K18</f>
        <v>-0.00306696999996348</v>
      </c>
    </row>
    <row r="19" customFormat="false" ht="15" hidden="false" customHeight="false" outlineLevel="0" collapsed="false">
      <c r="A19" s="4" t="s">
        <v>28</v>
      </c>
      <c r="B19" s="4" t="n">
        <v>1</v>
      </c>
      <c r="C19" s="5" t="n">
        <v>1095287.21</v>
      </c>
      <c r="D19" s="5" t="n">
        <v>1131595.97</v>
      </c>
      <c r="E19" s="6" t="n">
        <v>0.0249</v>
      </c>
      <c r="F19" s="7" t="n">
        <v>0.5276</v>
      </c>
      <c r="G19" s="8" t="n">
        <f aca="false">MIN(75, MAX(25, F19*100))</f>
        <v>52.76</v>
      </c>
      <c r="H19" s="9" t="n">
        <f aca="false">E19*G19*D19/100</f>
        <v>14866.0478409228</v>
      </c>
      <c r="I19" s="9" t="n">
        <f aca="false">E19*G19*D19/100</f>
        <v>14866.0478409228</v>
      </c>
      <c r="J19" s="9" t="n">
        <f aca="false">IF(B19=1, H19, I19)</f>
        <v>14866.0478409228</v>
      </c>
      <c r="K19" s="5" t="n">
        <v>14866.05</v>
      </c>
      <c r="L19" s="9" t="n">
        <f aca="false">J19-K19</f>
        <v>-0.00215907720121322</v>
      </c>
    </row>
    <row r="20" customFormat="false" ht="15" hidden="false" customHeight="false" outlineLevel="0" collapsed="false">
      <c r="A20" s="4" t="s">
        <v>29</v>
      </c>
      <c r="B20" s="4" t="n">
        <v>3</v>
      </c>
      <c r="C20" s="5" t="n">
        <v>751710.94</v>
      </c>
      <c r="D20" s="5" t="n">
        <v>779822.13</v>
      </c>
      <c r="E20" s="6" t="n">
        <v>0.6806</v>
      </c>
      <c r="F20" s="7" t="n">
        <v>0.5322</v>
      </c>
      <c r="G20" s="8" t="n">
        <f aca="false">MIN(75, MAX(25, F20*100))</f>
        <v>53.22</v>
      </c>
      <c r="H20" s="9" t="n">
        <f aca="false">E20*G20*D20/100</f>
        <v>282463.522361032</v>
      </c>
      <c r="I20" s="9" t="n">
        <f aca="false">E20*G20*D20/100</f>
        <v>282463.522361032</v>
      </c>
      <c r="J20" s="9" t="n">
        <f aca="false">IF(B20=1, H20, I20)</f>
        <v>282463.522361032</v>
      </c>
      <c r="K20" s="5" t="n">
        <v>282463.52</v>
      </c>
      <c r="L20" s="9" t="n">
        <f aca="false">J20-K20</f>
        <v>0.00236103154020384</v>
      </c>
    </row>
    <row r="21" customFormat="false" ht="15" hidden="false" customHeight="false" outlineLevel="0" collapsed="false">
      <c r="A21" s="4" t="s">
        <v>30</v>
      </c>
      <c r="B21" s="4" t="n">
        <v>1</v>
      </c>
      <c r="C21" s="5" t="n">
        <v>301866.4</v>
      </c>
      <c r="D21" s="5" t="n">
        <v>312941.81</v>
      </c>
      <c r="E21" s="6" t="n">
        <v>0.0225</v>
      </c>
      <c r="F21" s="7" t="n">
        <v>0.4806</v>
      </c>
      <c r="G21" s="8" t="n">
        <f aca="false">MIN(75, MAX(25, F21*100))</f>
        <v>48.06</v>
      </c>
      <c r="H21" s="9" t="n">
        <f aca="false">E21*G21*D21/100</f>
        <v>3383.996262435</v>
      </c>
      <c r="I21" s="9" t="n">
        <f aca="false">E21*G21*D21/100</f>
        <v>3383.996262435</v>
      </c>
      <c r="J21" s="9" t="n">
        <f aca="false">IF(B21=1, H21, I21)</f>
        <v>3383.996262435</v>
      </c>
      <c r="K21" s="5" t="n">
        <v>3384</v>
      </c>
      <c r="L21" s="9" t="n">
        <f aca="false">J21-K21</f>
        <v>-0.00373756500039235</v>
      </c>
    </row>
    <row r="22" customFormat="false" ht="15" hidden="false" customHeight="false" outlineLevel="0" collapsed="false">
      <c r="A22" s="4" t="s">
        <v>31</v>
      </c>
      <c r="B22" s="4" t="n">
        <v>1</v>
      </c>
      <c r="C22" s="5" t="n">
        <v>407826.41</v>
      </c>
      <c r="D22" s="5" t="n">
        <v>419147.19</v>
      </c>
      <c r="E22" s="6" t="n">
        <v>0.0169</v>
      </c>
      <c r="F22" s="7" t="n">
        <v>0.4719</v>
      </c>
      <c r="G22" s="8" t="n">
        <f aca="false">MIN(75, MAX(25, F22*100))</f>
        <v>47.19</v>
      </c>
      <c r="H22" s="9" t="n">
        <f aca="false">E22*G22*D22/100</f>
        <v>3342.7449464409</v>
      </c>
      <c r="I22" s="9" t="n">
        <f aca="false">E22*G22*D22/100</f>
        <v>3342.7449464409</v>
      </c>
      <c r="J22" s="9" t="n">
        <f aca="false">IF(B22=1, H22, I22)</f>
        <v>3342.7449464409</v>
      </c>
      <c r="K22" s="5" t="n">
        <v>3342.74</v>
      </c>
      <c r="L22" s="9" t="n">
        <f aca="false">J22-K22</f>
        <v>0.00494644089985741</v>
      </c>
    </row>
    <row r="23" customFormat="false" ht="15" hidden="false" customHeight="false" outlineLevel="0" collapsed="false">
      <c r="A23" s="4" t="s">
        <v>32</v>
      </c>
      <c r="B23" s="4" t="n">
        <v>1</v>
      </c>
      <c r="C23" s="5" t="n">
        <v>429314.7</v>
      </c>
      <c r="D23" s="5" t="n">
        <v>435673.85</v>
      </c>
      <c r="E23" s="6" t="n">
        <v>0.0258</v>
      </c>
      <c r="F23" s="7" t="n">
        <v>0.5998</v>
      </c>
      <c r="G23" s="8" t="n">
        <f aca="false">MIN(75, MAX(25, F23*100))</f>
        <v>59.98</v>
      </c>
      <c r="H23" s="9" t="n">
        <f aca="false">E23*G23*D23/100</f>
        <v>6741.983120934</v>
      </c>
      <c r="I23" s="9" t="n">
        <f aca="false">E23*G23*D23/100</f>
        <v>6741.983120934</v>
      </c>
      <c r="J23" s="9" t="n">
        <f aca="false">IF(B23=1, H23, I23)</f>
        <v>6741.983120934</v>
      </c>
      <c r="K23" s="5" t="n">
        <v>6741.98</v>
      </c>
      <c r="L23" s="9" t="n">
        <f aca="false">J23-K23</f>
        <v>0.00312093399952573</v>
      </c>
    </row>
    <row r="24" customFormat="false" ht="15" hidden="false" customHeight="false" outlineLevel="0" collapsed="false">
      <c r="A24" s="4" t="s">
        <v>33</v>
      </c>
      <c r="B24" s="4" t="n">
        <v>1</v>
      </c>
      <c r="C24" s="5" t="n">
        <v>0</v>
      </c>
      <c r="D24" s="5" t="n">
        <v>0</v>
      </c>
      <c r="E24" s="6" t="n">
        <v>0.0259</v>
      </c>
      <c r="F24" s="7" t="n">
        <v>0.3855</v>
      </c>
      <c r="G24" s="8" t="n">
        <f aca="false">MIN(75, MAX(25, F24*100))</f>
        <v>38.55</v>
      </c>
      <c r="H24" s="9" t="n">
        <f aca="false">E24*G24*D24/100</f>
        <v>0</v>
      </c>
      <c r="I24" s="9" t="n">
        <f aca="false">E24*G24*D24/100</f>
        <v>0</v>
      </c>
      <c r="J24" s="9" t="n">
        <f aca="false">IF(B24=1, H24, I24)</f>
        <v>0</v>
      </c>
      <c r="K24" s="5" t="n">
        <v>0</v>
      </c>
      <c r="L24" s="9" t="n">
        <f aca="false">J24-K24</f>
        <v>0</v>
      </c>
    </row>
    <row r="25" customFormat="false" ht="15" hidden="false" customHeight="false" outlineLevel="0" collapsed="false">
      <c r="A25" s="4" t="s">
        <v>34</v>
      </c>
      <c r="B25" s="4" t="n">
        <v>1</v>
      </c>
      <c r="C25" s="5" t="n">
        <v>750211.17</v>
      </c>
      <c r="D25" s="5" t="n">
        <v>779763.04</v>
      </c>
      <c r="E25" s="6" t="n">
        <v>0.0222</v>
      </c>
      <c r="F25" s="7" t="n">
        <v>0.6272</v>
      </c>
      <c r="G25" s="8" t="n">
        <f aca="false">MIN(75, MAX(25, F25*100))</f>
        <v>62.72</v>
      </c>
      <c r="H25" s="9" t="n">
        <f aca="false">E25*G25*D25/100</f>
        <v>10857.2958068736</v>
      </c>
      <c r="I25" s="9" t="n">
        <f aca="false">E25*G25*D25/100</f>
        <v>10857.2958068736</v>
      </c>
      <c r="J25" s="9" t="n">
        <f aca="false">IF(B25=1, H25, I25)</f>
        <v>10857.2958068736</v>
      </c>
      <c r="K25" s="5" t="n">
        <v>10857.3</v>
      </c>
      <c r="L25" s="9" t="n">
        <f aca="false">J25-K25</f>
        <v>-0.00419312639860436</v>
      </c>
    </row>
    <row r="26" customFormat="false" ht="15" hidden="false" customHeight="false" outlineLevel="0" collapsed="false">
      <c r="A26" s="4" t="s">
        <v>35</v>
      </c>
      <c r="B26" s="4" t="n">
        <v>1</v>
      </c>
      <c r="C26" s="5" t="n">
        <v>43587.54</v>
      </c>
      <c r="D26" s="5" t="n">
        <v>43969.35</v>
      </c>
      <c r="E26" s="6" t="n">
        <v>0.0209</v>
      </c>
      <c r="F26" s="7" t="n">
        <v>0.5789</v>
      </c>
      <c r="G26" s="8" t="n">
        <f aca="false">MIN(75, MAX(25, F26*100))</f>
        <v>57.89</v>
      </c>
      <c r="H26" s="9" t="n">
        <f aca="false">E26*G26*D26/100</f>
        <v>531.9856053435</v>
      </c>
      <c r="I26" s="9" t="n">
        <f aca="false">E26*G26*D26/100</f>
        <v>531.9856053435</v>
      </c>
      <c r="J26" s="9" t="n">
        <f aca="false">IF(B26=1, H26, I26)</f>
        <v>531.9856053435</v>
      </c>
      <c r="K26" s="5" t="n">
        <v>531.99</v>
      </c>
      <c r="L26" s="9" t="n">
        <f aca="false">J26-K26</f>
        <v>-0.00439465650003967</v>
      </c>
    </row>
    <row r="27" customFormat="false" ht="15" hidden="false" customHeight="false" outlineLevel="0" collapsed="false">
      <c r="A27" s="4" t="s">
        <v>36</v>
      </c>
      <c r="B27" s="4" t="n">
        <v>1</v>
      </c>
      <c r="C27" s="5" t="n">
        <v>799124.23</v>
      </c>
      <c r="D27" s="5" t="n">
        <v>821068.97</v>
      </c>
      <c r="E27" s="6" t="n">
        <v>0.0231</v>
      </c>
      <c r="F27" s="7" t="n">
        <v>0.4111</v>
      </c>
      <c r="G27" s="8" t="n">
        <f aca="false">MIN(75, MAX(25, F27*100))</f>
        <v>41.11</v>
      </c>
      <c r="H27" s="9" t="n">
        <f aca="false">E27*G27*D27/100</f>
        <v>7797.2075773977</v>
      </c>
      <c r="I27" s="9" t="n">
        <f aca="false">E27*G27*D27/100</f>
        <v>7797.2075773977</v>
      </c>
      <c r="J27" s="9" t="n">
        <f aca="false">IF(B27=1, H27, I27)</f>
        <v>7797.2075773977</v>
      </c>
      <c r="K27" s="5" t="n">
        <v>7797.21</v>
      </c>
      <c r="L27" s="9" t="n">
        <f aca="false">J27-K27</f>
        <v>-0.0024226022997027</v>
      </c>
    </row>
    <row r="28" customFormat="false" ht="15" hidden="false" customHeight="false" outlineLevel="0" collapsed="false">
      <c r="A28" s="4" t="s">
        <v>37</v>
      </c>
      <c r="B28" s="4" t="n">
        <v>1</v>
      </c>
      <c r="C28" s="5" t="n">
        <v>409388.48</v>
      </c>
      <c r="D28" s="5" t="n">
        <v>414857.35</v>
      </c>
      <c r="E28" s="6" t="n">
        <v>0.0181</v>
      </c>
      <c r="F28" s="7" t="n">
        <v>0.5863</v>
      </c>
      <c r="G28" s="8" t="n">
        <f aca="false">MIN(75, MAX(25, F28*100))</f>
        <v>58.63</v>
      </c>
      <c r="H28" s="9" t="n">
        <f aca="false">E28*G28*D28/100</f>
        <v>4402.4786439205</v>
      </c>
      <c r="I28" s="9" t="n">
        <f aca="false">E28*G28*D28/100</f>
        <v>4402.4786439205</v>
      </c>
      <c r="J28" s="9" t="n">
        <f aca="false">IF(B28=1, H28, I28)</f>
        <v>4402.4786439205</v>
      </c>
      <c r="K28" s="5" t="n">
        <v>4402.48</v>
      </c>
      <c r="L28" s="9" t="n">
        <f aca="false">J28-K28</f>
        <v>-0.00135607949960104</v>
      </c>
    </row>
    <row r="29" customFormat="false" ht="15" hidden="false" customHeight="false" outlineLevel="0" collapsed="false">
      <c r="A29" s="4" t="s">
        <v>38</v>
      </c>
      <c r="B29" s="4" t="n">
        <v>1</v>
      </c>
      <c r="C29" s="5" t="n">
        <v>884760.83</v>
      </c>
      <c r="D29" s="5" t="n">
        <v>904239.11</v>
      </c>
      <c r="E29" s="6" t="n">
        <v>0.0244</v>
      </c>
      <c r="F29" s="7" t="n">
        <v>0.6123</v>
      </c>
      <c r="G29" s="8" t="n">
        <f aca="false">MIN(75, MAX(25, F29*100))</f>
        <v>61.23</v>
      </c>
      <c r="H29" s="9" t="n">
        <f aca="false">E29*G29*D29/100</f>
        <v>13509.4408120932</v>
      </c>
      <c r="I29" s="9" t="n">
        <f aca="false">E29*G29*D29/100</f>
        <v>13509.4408120932</v>
      </c>
      <c r="J29" s="9" t="n">
        <f aca="false">IF(B29=1, H29, I29)</f>
        <v>13509.4408120932</v>
      </c>
      <c r="K29" s="5" t="n">
        <v>13509.44</v>
      </c>
      <c r="L29" s="9" t="n">
        <f aca="false">J29-K29</f>
        <v>0.000812093199783703</v>
      </c>
    </row>
    <row r="30" customFormat="false" ht="15" hidden="false" customHeight="false" outlineLevel="0" collapsed="false">
      <c r="A30" s="4" t="s">
        <v>39</v>
      </c>
      <c r="B30" s="4" t="n">
        <v>1</v>
      </c>
      <c r="C30" s="5" t="n">
        <v>1696808.5</v>
      </c>
      <c r="D30" s="5" t="n">
        <v>1721697.95</v>
      </c>
      <c r="E30" s="6" t="n">
        <v>0.0146</v>
      </c>
      <c r="F30" s="7" t="n">
        <v>0.5888</v>
      </c>
      <c r="G30" s="8" t="n">
        <f aca="false">MIN(75, MAX(25, F30*100))</f>
        <v>58.88</v>
      </c>
      <c r="H30" s="9" t="n">
        <f aca="false">E30*G30*D30/100</f>
        <v>14800.541993216</v>
      </c>
      <c r="I30" s="9" t="n">
        <f aca="false">E30*G30*D30/100</f>
        <v>14800.541993216</v>
      </c>
      <c r="J30" s="9" t="n">
        <f aca="false">IF(B30=1, H30, I30)</f>
        <v>14800.541993216</v>
      </c>
      <c r="K30" s="5" t="n">
        <v>14800.54</v>
      </c>
      <c r="L30" s="9" t="n">
        <f aca="false">J30-K30</f>
        <v>0.00199321599757241</v>
      </c>
    </row>
    <row r="31" customFormat="false" ht="15" hidden="false" customHeight="false" outlineLevel="0" collapsed="false">
      <c r="A31" s="4" t="s">
        <v>40</v>
      </c>
      <c r="B31" s="4" t="n">
        <v>1</v>
      </c>
      <c r="C31" s="5" t="n">
        <v>163056.82</v>
      </c>
      <c r="D31" s="5" t="n">
        <v>166166.02</v>
      </c>
      <c r="E31" s="6" t="n">
        <v>0.0242</v>
      </c>
      <c r="F31" s="7" t="n">
        <v>0.382</v>
      </c>
      <c r="G31" s="8" t="n">
        <f aca="false">MIN(75, MAX(25, F31*100))</f>
        <v>38.2</v>
      </c>
      <c r="H31" s="9" t="n">
        <f aca="false">E31*G31*D31/100</f>
        <v>1536.105155288</v>
      </c>
      <c r="I31" s="9" t="n">
        <f aca="false">E31*G31*D31/100</f>
        <v>1536.105155288</v>
      </c>
      <c r="J31" s="9" t="n">
        <f aca="false">IF(B31=1, H31, I31)</f>
        <v>1536.105155288</v>
      </c>
      <c r="K31" s="5" t="n">
        <v>1536.11</v>
      </c>
      <c r="L31" s="9" t="n">
        <f aca="false">J31-K31</f>
        <v>-0.0048447120000219</v>
      </c>
    </row>
    <row r="32" customFormat="false" ht="15" hidden="false" customHeight="false" outlineLevel="0" collapsed="false">
      <c r="A32" s="4" t="s">
        <v>41</v>
      </c>
      <c r="B32" s="4" t="n">
        <v>1</v>
      </c>
      <c r="C32" s="5" t="n">
        <v>1615943.24</v>
      </c>
      <c r="D32" s="5" t="n">
        <v>1683043.07</v>
      </c>
      <c r="E32" s="6" t="n">
        <v>0.0204</v>
      </c>
      <c r="F32" s="7" t="n">
        <v>0.624</v>
      </c>
      <c r="G32" s="8" t="n">
        <f aca="false">MIN(75, MAX(25, F32*100))</f>
        <v>62.4</v>
      </c>
      <c r="H32" s="9" t="n">
        <f aca="false">E32*G32*D32/100</f>
        <v>21424.465063872</v>
      </c>
      <c r="I32" s="9" t="n">
        <f aca="false">E32*G32*D32/100</f>
        <v>21424.465063872</v>
      </c>
      <c r="J32" s="9" t="n">
        <f aca="false">IF(B32=1, H32, I32)</f>
        <v>21424.465063872</v>
      </c>
      <c r="K32" s="5" t="n">
        <v>21424.47</v>
      </c>
      <c r="L32" s="9" t="n">
        <f aca="false">J32-K32</f>
        <v>-0.00493612799982657</v>
      </c>
    </row>
    <row r="33" customFormat="false" ht="15" hidden="false" customHeight="false" outlineLevel="0" collapsed="false">
      <c r="A33" s="4" t="s">
        <v>42</v>
      </c>
      <c r="B33" s="4" t="n">
        <v>1</v>
      </c>
      <c r="C33" s="5" t="n">
        <v>781047.58</v>
      </c>
      <c r="D33" s="5" t="n">
        <v>793857.01</v>
      </c>
      <c r="E33" s="6" t="n">
        <v>0.0214</v>
      </c>
      <c r="F33" s="7" t="n">
        <v>0.633</v>
      </c>
      <c r="G33" s="8" t="n">
        <f aca="false">MIN(75, MAX(25, F33*100))</f>
        <v>63.3</v>
      </c>
      <c r="H33" s="9" t="n">
        <f aca="false">E33*G33*D33/100</f>
        <v>10753.745828862</v>
      </c>
      <c r="I33" s="9" t="n">
        <f aca="false">E33*G33*D33/100</f>
        <v>10753.745828862</v>
      </c>
      <c r="J33" s="9" t="n">
        <f aca="false">IF(B33=1, H33, I33)</f>
        <v>10753.745828862</v>
      </c>
      <c r="K33" s="5" t="n">
        <v>10753.75</v>
      </c>
      <c r="L33" s="9" t="n">
        <f aca="false">J33-K33</f>
        <v>-0.00417113799994695</v>
      </c>
    </row>
    <row r="34" customFormat="false" ht="15" hidden="false" customHeight="false" outlineLevel="0" collapsed="false">
      <c r="A34" s="4" t="s">
        <v>43</v>
      </c>
      <c r="B34" s="4" t="n">
        <v>1</v>
      </c>
      <c r="C34" s="5" t="n">
        <v>428576.13</v>
      </c>
      <c r="D34" s="5" t="n">
        <v>440243.38</v>
      </c>
      <c r="E34" s="6" t="n">
        <v>0.0152</v>
      </c>
      <c r="F34" s="7" t="n">
        <v>0.5557</v>
      </c>
      <c r="G34" s="8" t="n">
        <f aca="false">MIN(75, MAX(25, F34*100))</f>
        <v>55.57</v>
      </c>
      <c r="H34" s="9" t="n">
        <f aca="false">E34*G34*D34/100</f>
        <v>3718.5773432432</v>
      </c>
      <c r="I34" s="9" t="n">
        <f aca="false">E34*G34*D34/100</f>
        <v>3718.5773432432</v>
      </c>
      <c r="J34" s="9" t="n">
        <f aca="false">IF(B34=1, H34, I34)</f>
        <v>3718.5773432432</v>
      </c>
      <c r="K34" s="5" t="n">
        <v>3718.58</v>
      </c>
      <c r="L34" s="9" t="n">
        <f aca="false">J34-K34</f>
        <v>-0.00265675680020649</v>
      </c>
    </row>
    <row r="35" customFormat="false" ht="15" hidden="false" customHeight="false" outlineLevel="0" collapsed="false">
      <c r="A35" s="4" t="s">
        <v>44</v>
      </c>
      <c r="B35" s="4" t="n">
        <v>1</v>
      </c>
      <c r="C35" s="5" t="n">
        <v>752638.67</v>
      </c>
      <c r="D35" s="5" t="n">
        <v>753197.89</v>
      </c>
      <c r="E35" s="6" t="n">
        <v>0.0219</v>
      </c>
      <c r="F35" s="7" t="n">
        <v>0.3577</v>
      </c>
      <c r="G35" s="8" t="n">
        <f aca="false">MIN(75, MAX(25, F35*100))</f>
        <v>35.77</v>
      </c>
      <c r="H35" s="9" t="n">
        <f aca="false">E35*G35*D35/100</f>
        <v>5900.2735870407</v>
      </c>
      <c r="I35" s="9" t="n">
        <f aca="false">E35*G35*D35/100</f>
        <v>5900.2735870407</v>
      </c>
      <c r="J35" s="9" t="n">
        <f aca="false">IF(B35=1, H35, I35)</f>
        <v>5900.2735870407</v>
      </c>
      <c r="K35" s="5" t="n">
        <v>5900.27</v>
      </c>
      <c r="L35" s="9" t="n">
        <f aca="false">J35-K35</f>
        <v>0.00358704069913074</v>
      </c>
    </row>
    <row r="36" customFormat="false" ht="15" hidden="false" customHeight="false" outlineLevel="0" collapsed="false">
      <c r="A36" s="4" t="s">
        <v>45</v>
      </c>
      <c r="B36" s="4" t="n">
        <v>1</v>
      </c>
      <c r="C36" s="5" t="n">
        <v>1136625.95</v>
      </c>
      <c r="D36" s="5" t="n">
        <v>1167789.76</v>
      </c>
      <c r="E36" s="6" t="n">
        <v>0.0173</v>
      </c>
      <c r="F36" s="7" t="n">
        <v>0.5399</v>
      </c>
      <c r="G36" s="8" t="n">
        <f aca="false">MIN(75, MAX(25, F36*100))</f>
        <v>53.99</v>
      </c>
      <c r="H36" s="9" t="n">
        <f aca="false">E36*G36*D36/100</f>
        <v>10907.4716616352</v>
      </c>
      <c r="I36" s="9" t="n">
        <f aca="false">E36*G36*D36/100</f>
        <v>10907.4716616352</v>
      </c>
      <c r="J36" s="9" t="n">
        <f aca="false">IF(B36=1, H36, I36)</f>
        <v>10907.4716616352</v>
      </c>
      <c r="K36" s="5" t="n">
        <v>10907.47</v>
      </c>
      <c r="L36" s="9" t="n">
        <f aca="false">J36-K36</f>
        <v>0.00166163520043483</v>
      </c>
    </row>
    <row r="37" customFormat="false" ht="15" hidden="false" customHeight="false" outlineLevel="0" collapsed="false">
      <c r="A37" s="4" t="s">
        <v>46</v>
      </c>
      <c r="B37" s="4" t="n">
        <v>1</v>
      </c>
      <c r="C37" s="5" t="n">
        <v>487810.04</v>
      </c>
      <c r="D37" s="5" t="n">
        <v>509117.76</v>
      </c>
      <c r="E37" s="6" t="n">
        <v>0.022</v>
      </c>
      <c r="F37" s="7" t="n">
        <v>0.4732</v>
      </c>
      <c r="G37" s="8" t="n">
        <f aca="false">MIN(75, MAX(25, F37*100))</f>
        <v>47.32</v>
      </c>
      <c r="H37" s="9" t="n">
        <f aca="false">E37*G37*D37/100</f>
        <v>5300.119528704</v>
      </c>
      <c r="I37" s="9" t="n">
        <f aca="false">E37*G37*D37/100</f>
        <v>5300.119528704</v>
      </c>
      <c r="J37" s="9" t="n">
        <f aca="false">IF(B37=1, H37, I37)</f>
        <v>5300.119528704</v>
      </c>
      <c r="K37" s="5" t="n">
        <v>5300.12</v>
      </c>
      <c r="L37" s="9" t="n">
        <f aca="false">J37-K37</f>
        <v>-0.000471295999886934</v>
      </c>
    </row>
    <row r="38" customFormat="false" ht="15" hidden="false" customHeight="false" outlineLevel="0" collapsed="false">
      <c r="A38" s="4" t="s">
        <v>47</v>
      </c>
      <c r="B38" s="4" t="n">
        <v>1</v>
      </c>
      <c r="C38" s="5" t="n">
        <v>394151.75</v>
      </c>
      <c r="D38" s="5" t="n">
        <v>396974.89</v>
      </c>
      <c r="E38" s="6" t="n">
        <v>0.0182</v>
      </c>
      <c r="F38" s="7" t="n">
        <v>0.4044</v>
      </c>
      <c r="G38" s="8" t="n">
        <f aca="false">MIN(75, MAX(25, F38*100))</f>
        <v>40.44</v>
      </c>
      <c r="H38" s="9" t="n">
        <f aca="false">E38*G38*D38/100</f>
        <v>2921.7669483912</v>
      </c>
      <c r="I38" s="9" t="n">
        <f aca="false">E38*G38*D38/100</f>
        <v>2921.7669483912</v>
      </c>
      <c r="J38" s="9" t="n">
        <f aca="false">IF(B38=1, H38, I38)</f>
        <v>2921.7669483912</v>
      </c>
      <c r="K38" s="5" t="n">
        <v>2921.77</v>
      </c>
      <c r="L38" s="9" t="n">
        <f aca="false">J38-K38</f>
        <v>-0.00305160879952382</v>
      </c>
    </row>
    <row r="39" customFormat="false" ht="15" hidden="false" customHeight="false" outlineLevel="0" collapsed="false">
      <c r="A39" s="4" t="s">
        <v>48</v>
      </c>
      <c r="B39" s="4" t="n">
        <v>1</v>
      </c>
      <c r="C39" s="5" t="n">
        <v>713076.47</v>
      </c>
      <c r="D39" s="5" t="n">
        <v>737267.1</v>
      </c>
      <c r="E39" s="6" t="n">
        <v>0.0192</v>
      </c>
      <c r="F39" s="7" t="n">
        <v>0.435</v>
      </c>
      <c r="G39" s="8" t="n">
        <f aca="false">MIN(75, MAX(25, F39*100))</f>
        <v>43.5</v>
      </c>
      <c r="H39" s="9" t="n">
        <f aca="false">E39*G39*D39/100</f>
        <v>6157.6548192</v>
      </c>
      <c r="I39" s="9" t="n">
        <f aca="false">E39*G39*D39/100</f>
        <v>6157.6548192</v>
      </c>
      <c r="J39" s="9" t="n">
        <f aca="false">IF(B39=1, H39, I39)</f>
        <v>6157.6548192</v>
      </c>
      <c r="K39" s="5" t="n">
        <v>6157.65</v>
      </c>
      <c r="L39" s="9" t="n">
        <f aca="false">J39-K39</f>
        <v>0.00481919999947422</v>
      </c>
    </row>
    <row r="40" customFormat="false" ht="15" hidden="false" customHeight="false" outlineLevel="0" collapsed="false">
      <c r="A40" s="4" t="s">
        <v>49</v>
      </c>
      <c r="B40" s="4" t="n">
        <v>2</v>
      </c>
      <c r="C40" s="5" t="n">
        <v>634849.25</v>
      </c>
      <c r="D40" s="5" t="n">
        <v>637646.71</v>
      </c>
      <c r="E40" s="6" t="n">
        <v>0.1439</v>
      </c>
      <c r="F40" s="7" t="n">
        <v>0.6259</v>
      </c>
      <c r="G40" s="8" t="n">
        <f aca="false">MIN(75, MAX(25, F40*100))</f>
        <v>62.59</v>
      </c>
      <c r="H40" s="9" t="n">
        <f aca="false">E40*G40*D40/100</f>
        <v>57430.9326060371</v>
      </c>
      <c r="I40" s="9" t="n">
        <f aca="false">E40*G40*D40/100</f>
        <v>57430.9326060371</v>
      </c>
      <c r="J40" s="9" t="n">
        <f aca="false">IF(B40=1, H40, I40)</f>
        <v>57430.9326060371</v>
      </c>
      <c r="K40" s="5" t="n">
        <v>57430.93</v>
      </c>
      <c r="L40" s="9" t="n">
        <f aca="false">J40-K40</f>
        <v>0.00260603709466523</v>
      </c>
    </row>
    <row r="41" customFormat="false" ht="15" hidden="false" customHeight="false" outlineLevel="0" collapsed="false">
      <c r="A41" s="4" t="s">
        <v>50</v>
      </c>
      <c r="B41" s="4" t="n">
        <v>1</v>
      </c>
      <c r="C41" s="5" t="n">
        <v>422656.04</v>
      </c>
      <c r="D41" s="5" t="n">
        <v>436244.26</v>
      </c>
      <c r="E41" s="6" t="n">
        <v>0.0222</v>
      </c>
      <c r="F41" s="7" t="n">
        <v>0.6146</v>
      </c>
      <c r="G41" s="8" t="n">
        <f aca="false">MIN(75, MAX(25, F41*100))</f>
        <v>61.46</v>
      </c>
      <c r="H41" s="9" t="n">
        <f aca="false">E41*G41*D41/100</f>
        <v>5952.1690327512</v>
      </c>
      <c r="I41" s="9" t="n">
        <f aca="false">E41*G41*D41/100</f>
        <v>5952.1690327512</v>
      </c>
      <c r="J41" s="9" t="n">
        <f aca="false">IF(B41=1, H41, I41)</f>
        <v>5952.1690327512</v>
      </c>
      <c r="K41" s="5" t="n">
        <v>5952.17</v>
      </c>
      <c r="L41" s="9" t="n">
        <f aca="false">J41-K41</f>
        <v>-0.000967248799497611</v>
      </c>
    </row>
    <row r="42" customFormat="false" ht="15" hidden="false" customHeight="false" outlineLevel="0" collapsed="false">
      <c r="A42" s="4" t="s">
        <v>51</v>
      </c>
      <c r="B42" s="4" t="n">
        <v>1</v>
      </c>
      <c r="C42" s="5" t="n">
        <v>1142615.21</v>
      </c>
      <c r="D42" s="5" t="n">
        <v>1162236.07</v>
      </c>
      <c r="E42" s="6" t="n">
        <v>0.0152</v>
      </c>
      <c r="F42" s="7" t="n">
        <v>0.6197</v>
      </c>
      <c r="G42" s="8" t="n">
        <f aca="false">MIN(75, MAX(25, F42*100))</f>
        <v>61.97</v>
      </c>
      <c r="H42" s="9" t="n">
        <f aca="false">E42*G42*D42/100</f>
        <v>10947.6129272008</v>
      </c>
      <c r="I42" s="9" t="n">
        <f aca="false">E42*G42*D42/100</f>
        <v>10947.6129272008</v>
      </c>
      <c r="J42" s="9" t="n">
        <f aca="false">IF(B42=1, H42, I42)</f>
        <v>10947.6129272008</v>
      </c>
      <c r="K42" s="5" t="n">
        <v>10947.61</v>
      </c>
      <c r="L42" s="9" t="n">
        <f aca="false">J42-K42</f>
        <v>0.00292720080142317</v>
      </c>
    </row>
    <row r="43" customFormat="false" ht="15" hidden="false" customHeight="false" outlineLevel="0" collapsed="false">
      <c r="A43" s="4" t="s">
        <v>52</v>
      </c>
      <c r="B43" s="4" t="n">
        <v>1</v>
      </c>
      <c r="C43" s="5" t="n">
        <v>1408968.67</v>
      </c>
      <c r="D43" s="5" t="n">
        <v>1430778.23</v>
      </c>
      <c r="E43" s="6" t="n">
        <v>0.0211</v>
      </c>
      <c r="F43" s="7" t="n">
        <v>0.6314</v>
      </c>
      <c r="G43" s="8" t="n">
        <f aca="false">MIN(75, MAX(25, F43*100))</f>
        <v>63.14</v>
      </c>
      <c r="H43" s="9" t="n">
        <f aca="false">E43*G43*D43/100</f>
        <v>19061.6002003042</v>
      </c>
      <c r="I43" s="9" t="n">
        <f aca="false">E43*G43*D43/100</f>
        <v>19061.6002003042</v>
      </c>
      <c r="J43" s="9" t="n">
        <f aca="false">IF(B43=1, H43, I43)</f>
        <v>19061.6002003042</v>
      </c>
      <c r="K43" s="5" t="n">
        <v>19061.6</v>
      </c>
      <c r="L43" s="9" t="n">
        <f aca="false">J43-K43</f>
        <v>0.000200304199097445</v>
      </c>
    </row>
    <row r="44" customFormat="false" ht="15" hidden="false" customHeight="false" outlineLevel="0" collapsed="false">
      <c r="A44" s="4" t="s">
        <v>53</v>
      </c>
      <c r="B44" s="4" t="n">
        <v>1</v>
      </c>
      <c r="C44" s="5" t="n">
        <v>602521.05</v>
      </c>
      <c r="D44" s="5" t="n">
        <v>615903</v>
      </c>
      <c r="E44" s="6" t="n">
        <v>0.0221</v>
      </c>
      <c r="F44" s="7" t="n">
        <v>0.4213</v>
      </c>
      <c r="G44" s="8" t="n">
        <f aca="false">MIN(75, MAX(25, F44*100))</f>
        <v>42.13</v>
      </c>
      <c r="H44" s="9" t="n">
        <f aca="false">E44*G44*D44/100</f>
        <v>5734.50653919</v>
      </c>
      <c r="I44" s="9" t="n">
        <f aca="false">E44*G44*D44/100</f>
        <v>5734.50653919</v>
      </c>
      <c r="J44" s="9" t="n">
        <f aca="false">IF(B44=1, H44, I44)</f>
        <v>5734.50653919</v>
      </c>
      <c r="K44" s="5" t="n">
        <v>5734.51</v>
      </c>
      <c r="L44" s="9" t="n">
        <f aca="false">J44-K44</f>
        <v>-0.00346080999952392</v>
      </c>
    </row>
    <row r="45" customFormat="false" ht="15" hidden="false" customHeight="false" outlineLevel="0" collapsed="false">
      <c r="A45" s="4" t="s">
        <v>54</v>
      </c>
      <c r="B45" s="4" t="n">
        <v>2</v>
      </c>
      <c r="C45" s="5" t="n">
        <v>1015484.15</v>
      </c>
      <c r="D45" s="5" t="n">
        <v>1061714.32</v>
      </c>
      <c r="E45" s="6" t="n">
        <v>0.1438</v>
      </c>
      <c r="F45" s="7" t="n">
        <v>0.3775</v>
      </c>
      <c r="G45" s="8" t="n">
        <f aca="false">MIN(75, MAX(25, F45*100))</f>
        <v>37.75</v>
      </c>
      <c r="H45" s="9" t="n">
        <f aca="false">E45*G45*D45/100</f>
        <v>57634.63100404</v>
      </c>
      <c r="I45" s="9" t="n">
        <f aca="false">E45*G45*D45/100</f>
        <v>57634.63100404</v>
      </c>
      <c r="J45" s="9" t="n">
        <f aca="false">IF(B45=1, H45, I45)</f>
        <v>57634.63100404</v>
      </c>
      <c r="K45" s="5" t="n">
        <v>57634.63</v>
      </c>
      <c r="L45" s="9" t="n">
        <f aca="false">J45-K45</f>
        <v>0.00100404000841081</v>
      </c>
    </row>
    <row r="46" customFormat="false" ht="15" hidden="false" customHeight="false" outlineLevel="0" collapsed="false">
      <c r="A46" s="4" t="s">
        <v>55</v>
      </c>
      <c r="B46" s="4" t="n">
        <v>1</v>
      </c>
      <c r="C46" s="5" t="n">
        <v>271318.4</v>
      </c>
      <c r="D46" s="5" t="n">
        <v>275403.79</v>
      </c>
      <c r="E46" s="6" t="n">
        <v>0.0153</v>
      </c>
      <c r="F46" s="7" t="n">
        <v>0.4364</v>
      </c>
      <c r="G46" s="8" t="n">
        <f aca="false">MIN(75, MAX(25, F46*100))</f>
        <v>43.64</v>
      </c>
      <c r="H46" s="9" t="n">
        <f aca="false">E46*G46*D46/100</f>
        <v>1838.8490735268</v>
      </c>
      <c r="I46" s="9" t="n">
        <f aca="false">E46*G46*D46/100</f>
        <v>1838.8490735268</v>
      </c>
      <c r="J46" s="9" t="n">
        <f aca="false">IF(B46=1, H46, I46)</f>
        <v>1838.8490735268</v>
      </c>
      <c r="K46" s="5" t="n">
        <v>1838.85</v>
      </c>
      <c r="L46" s="9" t="n">
        <f aca="false">J46-K46</f>
        <v>-0.000926473200252076</v>
      </c>
    </row>
    <row r="47" customFormat="false" ht="15" hidden="false" customHeight="false" outlineLevel="0" collapsed="false">
      <c r="A47" s="4" t="s">
        <v>56</v>
      </c>
      <c r="B47" s="4" t="n">
        <v>3</v>
      </c>
      <c r="C47" s="5" t="n">
        <v>498775.47</v>
      </c>
      <c r="D47" s="5" t="n">
        <v>504788.85</v>
      </c>
      <c r="E47" s="6" t="n">
        <v>0.7771</v>
      </c>
      <c r="F47" s="7" t="n">
        <v>0.3703</v>
      </c>
      <c r="G47" s="8" t="n">
        <f aca="false">MIN(75, MAX(25, F47*100))</f>
        <v>37.03</v>
      </c>
      <c r="H47" s="9" t="n">
        <f aca="false">E47*G47*D47/100</f>
        <v>145258.105098551</v>
      </c>
      <c r="I47" s="9" t="n">
        <f aca="false">E47*G47*D47/100</f>
        <v>145258.105098551</v>
      </c>
      <c r="J47" s="9" t="n">
        <f aca="false">IF(B47=1, H47, I47)</f>
        <v>145258.105098551</v>
      </c>
      <c r="K47" s="5" t="n">
        <v>145258.11</v>
      </c>
      <c r="L47" s="9" t="n">
        <f aca="false">J47-K47</f>
        <v>-0.00490144948707894</v>
      </c>
    </row>
    <row r="48" customFormat="false" ht="15" hidden="false" customHeight="false" outlineLevel="0" collapsed="false">
      <c r="A48" s="4" t="s">
        <v>57</v>
      </c>
      <c r="B48" s="4" t="n">
        <v>1</v>
      </c>
      <c r="C48" s="5" t="n">
        <v>1050318.75</v>
      </c>
      <c r="D48" s="5" t="n">
        <v>1073265.66</v>
      </c>
      <c r="E48" s="6" t="n">
        <v>0.0173</v>
      </c>
      <c r="F48" s="7" t="n">
        <v>0.5898</v>
      </c>
      <c r="G48" s="8" t="n">
        <f aca="false">MIN(75, MAX(25, F48*100))</f>
        <v>58.98</v>
      </c>
      <c r="H48" s="9" t="n">
        <f aca="false">E48*G48*D48/100</f>
        <v>10951.1090924364</v>
      </c>
      <c r="I48" s="9" t="n">
        <f aca="false">E48*G48*D48/100</f>
        <v>10951.1090924364</v>
      </c>
      <c r="J48" s="9" t="n">
        <f aca="false">IF(B48=1, H48, I48)</f>
        <v>10951.1090924364</v>
      </c>
      <c r="K48" s="5" t="n">
        <v>10951.11</v>
      </c>
      <c r="L48" s="9" t="n">
        <f aca="false">J48-K48</f>
        <v>-0.000907563602595474</v>
      </c>
    </row>
    <row r="49" customFormat="false" ht="15" hidden="false" customHeight="false" outlineLevel="0" collapsed="false">
      <c r="A49" s="4" t="s">
        <v>58</v>
      </c>
      <c r="B49" s="4" t="n">
        <v>1</v>
      </c>
      <c r="C49" s="5" t="n">
        <v>584127.35</v>
      </c>
      <c r="D49" s="5" t="n">
        <v>599112.73</v>
      </c>
      <c r="E49" s="6" t="n">
        <v>0.0221</v>
      </c>
      <c r="F49" s="7" t="n">
        <v>0.4719</v>
      </c>
      <c r="G49" s="8" t="n">
        <f aca="false">MIN(75, MAX(25, F49*100))</f>
        <v>47.19</v>
      </c>
      <c r="H49" s="9" t="n">
        <f aca="false">E49*G49*D49/100</f>
        <v>6248.1406700427</v>
      </c>
      <c r="I49" s="9" t="n">
        <f aca="false">E49*G49*D49/100</f>
        <v>6248.1406700427</v>
      </c>
      <c r="J49" s="9" t="n">
        <f aca="false">IF(B49=1, H49, I49)</f>
        <v>6248.1406700427</v>
      </c>
      <c r="K49" s="5" t="n">
        <v>6248.14</v>
      </c>
      <c r="L49" s="9" t="n">
        <f aca="false">J49-K49</f>
        <v>0.000670042700221529</v>
      </c>
    </row>
    <row r="50" customFormat="false" ht="15" hidden="false" customHeight="false" outlineLevel="0" collapsed="false">
      <c r="A50" s="4" t="s">
        <v>59</v>
      </c>
      <c r="B50" s="4" t="n">
        <v>3</v>
      </c>
      <c r="C50" s="5" t="n">
        <v>197985.09</v>
      </c>
      <c r="D50" s="5" t="n">
        <v>199966.71</v>
      </c>
      <c r="E50" s="6" t="n">
        <v>0.9489</v>
      </c>
      <c r="F50" s="7" t="n">
        <v>0.6496</v>
      </c>
      <c r="G50" s="8" t="n">
        <f aca="false">MIN(75, MAX(25, F50*100))</f>
        <v>64.96</v>
      </c>
      <c r="H50" s="9" t="n">
        <f aca="false">E50*G50*D50/100</f>
        <v>123260.567862902</v>
      </c>
      <c r="I50" s="9" t="n">
        <f aca="false">E50*G50*D50/100</f>
        <v>123260.567862902</v>
      </c>
      <c r="J50" s="9" t="n">
        <f aca="false">IF(B50=1, H50, I50)</f>
        <v>123260.567862902</v>
      </c>
      <c r="K50" s="5" t="n">
        <v>123260.57</v>
      </c>
      <c r="L50" s="9" t="n">
        <f aca="false">J50-K50</f>
        <v>-0.00213709763193037</v>
      </c>
    </row>
    <row r="51" customFormat="false" ht="15" hidden="false" customHeight="false" outlineLevel="0" collapsed="false">
      <c r="A51" s="4" t="s">
        <v>60</v>
      </c>
      <c r="B51" s="4" t="n">
        <v>1</v>
      </c>
      <c r="C51" s="5" t="n">
        <v>1405793.61</v>
      </c>
      <c r="D51" s="5" t="n">
        <v>1463665.87</v>
      </c>
      <c r="E51" s="6" t="n">
        <v>0.0203</v>
      </c>
      <c r="F51" s="7" t="n">
        <v>0.5807</v>
      </c>
      <c r="G51" s="8" t="n">
        <f aca="false">MIN(75, MAX(25, F51*100))</f>
        <v>58.07</v>
      </c>
      <c r="H51" s="9" t="n">
        <f aca="false">E51*G51*D51/100</f>
        <v>17254.0006453927</v>
      </c>
      <c r="I51" s="9" t="n">
        <f aca="false">E51*G51*D51/100</f>
        <v>17254.0006453927</v>
      </c>
      <c r="J51" s="9" t="n">
        <f aca="false">IF(B51=1, H51, I51)</f>
        <v>17254.0006453927</v>
      </c>
      <c r="K51" s="5" t="n">
        <v>17254</v>
      </c>
      <c r="L51" s="9" t="n">
        <f aca="false">J51-K51</f>
        <v>0.000645392701699166</v>
      </c>
    </row>
    <row r="52" customFormat="false" ht="15" hidden="false" customHeight="false" outlineLevel="0" collapsed="false">
      <c r="A52" s="4" t="s">
        <v>61</v>
      </c>
      <c r="B52" s="4" t="n">
        <v>3</v>
      </c>
      <c r="C52" s="5" t="n">
        <v>744555.82</v>
      </c>
      <c r="D52" s="5" t="n">
        <v>779609.77</v>
      </c>
      <c r="E52" s="6" t="n">
        <v>0.8513</v>
      </c>
      <c r="F52" s="7" t="n">
        <v>0.4006</v>
      </c>
      <c r="G52" s="8" t="n">
        <f aca="false">MIN(75, MAX(25, F52*100))</f>
        <v>40.06</v>
      </c>
      <c r="H52" s="9" t="n">
        <f aca="false">E52*G52*D52/100</f>
        <v>265870.927958721</v>
      </c>
      <c r="I52" s="9" t="n">
        <f aca="false">E52*G52*D52/100</f>
        <v>265870.927958721</v>
      </c>
      <c r="J52" s="9" t="n">
        <f aca="false">IF(B52=1, H52, I52)</f>
        <v>265870.927958721</v>
      </c>
      <c r="K52" s="5" t="n">
        <v>265870.93</v>
      </c>
      <c r="L52" s="9" t="n">
        <f aca="false">J52-K52</f>
        <v>-0.00204127939650789</v>
      </c>
    </row>
    <row r="53" customFormat="false" ht="15" hidden="false" customHeight="false" outlineLevel="0" collapsed="false">
      <c r="A53" s="4" t="s">
        <v>62</v>
      </c>
      <c r="B53" s="4" t="n">
        <v>1</v>
      </c>
      <c r="C53" s="5" t="n">
        <v>1215906.47</v>
      </c>
      <c r="D53" s="5" t="n">
        <v>1275973.67</v>
      </c>
      <c r="E53" s="6" t="n">
        <v>0.0243</v>
      </c>
      <c r="F53" s="7" t="n">
        <v>0.4458</v>
      </c>
      <c r="G53" s="8" t="n">
        <f aca="false">MIN(75, MAX(25, F53*100))</f>
        <v>44.58</v>
      </c>
      <c r="H53" s="9" t="n">
        <f aca="false">E53*G53*D53/100</f>
        <v>13822.5462086898</v>
      </c>
      <c r="I53" s="9" t="n">
        <f aca="false">E53*G53*D53/100</f>
        <v>13822.5462086898</v>
      </c>
      <c r="J53" s="9" t="n">
        <f aca="false">IF(B53=1, H53, I53)</f>
        <v>13822.5462086898</v>
      </c>
      <c r="K53" s="5" t="n">
        <v>13822.55</v>
      </c>
      <c r="L53" s="9" t="n">
        <f aca="false">J53-K53</f>
        <v>-0.00379131020054047</v>
      </c>
    </row>
    <row r="54" customFormat="false" ht="15" hidden="false" customHeight="false" outlineLevel="0" collapsed="false">
      <c r="A54" s="4" t="s">
        <v>63</v>
      </c>
      <c r="B54" s="4" t="n">
        <v>1</v>
      </c>
      <c r="C54" s="5" t="n">
        <v>400480.91</v>
      </c>
      <c r="D54" s="5" t="n">
        <v>413581.84</v>
      </c>
      <c r="E54" s="6" t="n">
        <v>0.0199</v>
      </c>
      <c r="F54" s="7" t="n">
        <v>0.6147</v>
      </c>
      <c r="G54" s="8" t="n">
        <f aca="false">MIN(75, MAX(25, F54*100))</f>
        <v>61.47</v>
      </c>
      <c r="H54" s="9" t="n">
        <f aca="false">E54*G54*D54/100</f>
        <v>5059.1522652552</v>
      </c>
      <c r="I54" s="9" t="n">
        <f aca="false">E54*G54*D54/100</f>
        <v>5059.1522652552</v>
      </c>
      <c r="J54" s="9" t="n">
        <f aca="false">IF(B54=1, H54, I54)</f>
        <v>5059.1522652552</v>
      </c>
      <c r="K54" s="5" t="n">
        <v>5059.15</v>
      </c>
      <c r="L54" s="9" t="n">
        <f aca="false">J54-K54</f>
        <v>0.00226525520156429</v>
      </c>
    </row>
    <row r="55" customFormat="false" ht="15" hidden="false" customHeight="false" outlineLevel="0" collapsed="false">
      <c r="A55" s="4" t="s">
        <v>64</v>
      </c>
      <c r="B55" s="4" t="n">
        <v>1</v>
      </c>
      <c r="C55" s="5" t="n">
        <v>654263.06</v>
      </c>
      <c r="D55" s="5" t="n">
        <v>665157.87</v>
      </c>
      <c r="E55" s="6" t="n">
        <v>0.0145</v>
      </c>
      <c r="F55" s="7" t="n">
        <v>0.3911</v>
      </c>
      <c r="G55" s="8" t="n">
        <f aca="false">MIN(75, MAX(25, F55*100))</f>
        <v>39.11</v>
      </c>
      <c r="H55" s="9" t="n">
        <f aca="false">E55*G55*D55/100</f>
        <v>3772.0770228765</v>
      </c>
      <c r="I55" s="9" t="n">
        <f aca="false">E55*G55*D55/100</f>
        <v>3772.0770228765</v>
      </c>
      <c r="J55" s="9" t="n">
        <f aca="false">IF(B55=1, H55, I55)</f>
        <v>3772.0770228765</v>
      </c>
      <c r="K55" s="5" t="n">
        <v>3772.08</v>
      </c>
      <c r="L55" s="9" t="n">
        <f aca="false">J55-K55</f>
        <v>-0.00297712349947687</v>
      </c>
    </row>
    <row r="56" customFormat="false" ht="15" hidden="false" customHeight="false" outlineLevel="0" collapsed="false">
      <c r="A56" s="4" t="s">
        <v>65</v>
      </c>
      <c r="B56" s="4" t="n">
        <v>1</v>
      </c>
      <c r="C56" s="5" t="n">
        <v>971783.14</v>
      </c>
      <c r="D56" s="5" t="n">
        <v>980068.18</v>
      </c>
      <c r="E56" s="6" t="n">
        <v>0.0227</v>
      </c>
      <c r="F56" s="7" t="n">
        <v>0.5251</v>
      </c>
      <c r="G56" s="8" t="n">
        <f aca="false">MIN(75, MAX(25, F56*100))</f>
        <v>52.51</v>
      </c>
      <c r="H56" s="9" t="n">
        <f aca="false">E56*G56*D56/100</f>
        <v>11682.1872899186</v>
      </c>
      <c r="I56" s="9" t="n">
        <f aca="false">E56*G56*D56/100</f>
        <v>11682.1872899186</v>
      </c>
      <c r="J56" s="9" t="n">
        <f aca="false">IF(B56=1, H56, I56)</f>
        <v>11682.1872899186</v>
      </c>
      <c r="K56" s="5" t="n">
        <v>11682.19</v>
      </c>
      <c r="L56" s="9" t="n">
        <f aca="false">J56-K56</f>
        <v>-0.00271008140043705</v>
      </c>
    </row>
    <row r="57" customFormat="false" ht="15" hidden="false" customHeight="false" outlineLevel="0" collapsed="false">
      <c r="A57" s="4" t="s">
        <v>66</v>
      </c>
      <c r="B57" s="4" t="n">
        <v>1</v>
      </c>
      <c r="C57" s="5" t="n">
        <v>476555.34</v>
      </c>
      <c r="D57" s="5" t="n">
        <v>482429.34</v>
      </c>
      <c r="E57" s="6" t="n">
        <v>0.0213</v>
      </c>
      <c r="F57" s="7" t="n">
        <v>0.4077</v>
      </c>
      <c r="G57" s="8" t="n">
        <f aca="false">MIN(75, MAX(25, F57*100))</f>
        <v>40.77</v>
      </c>
      <c r="H57" s="9" t="n">
        <f aca="false">E57*G57*D57/100</f>
        <v>4189.4212128534</v>
      </c>
      <c r="I57" s="9" t="n">
        <f aca="false">E57*G57*D57/100</f>
        <v>4189.4212128534</v>
      </c>
      <c r="J57" s="9" t="n">
        <f aca="false">IF(B57=1, H57, I57)</f>
        <v>4189.4212128534</v>
      </c>
      <c r="K57" s="5" t="n">
        <v>4189.42</v>
      </c>
      <c r="L57" s="9" t="n">
        <f aca="false">J57-K57</f>
        <v>0.00121285340082977</v>
      </c>
    </row>
    <row r="58" customFormat="false" ht="15" hidden="false" customHeight="false" outlineLevel="0" collapsed="false">
      <c r="A58" s="4" t="s">
        <v>67</v>
      </c>
      <c r="B58" s="4" t="n">
        <v>1</v>
      </c>
      <c r="C58" s="5" t="n">
        <v>1117470.1</v>
      </c>
      <c r="D58" s="5" t="n">
        <v>1150258.38</v>
      </c>
      <c r="E58" s="6" t="n">
        <v>0.0156</v>
      </c>
      <c r="F58" s="7" t="n">
        <v>0.5347</v>
      </c>
      <c r="G58" s="8" t="n">
        <f aca="false">MIN(75, MAX(25, F58*100))</f>
        <v>53.47</v>
      </c>
      <c r="H58" s="9" t="n">
        <f aca="false">E58*G58*D58/100</f>
        <v>9594.6732302616</v>
      </c>
      <c r="I58" s="9" t="n">
        <f aca="false">E58*G58*D58/100</f>
        <v>9594.6732302616</v>
      </c>
      <c r="J58" s="9" t="n">
        <f aca="false">IF(B58=1, H58, I58)</f>
        <v>9594.6732302616</v>
      </c>
      <c r="K58" s="5" t="n">
        <v>9594.67</v>
      </c>
      <c r="L58" s="9" t="n">
        <f aca="false">J58-K58</f>
        <v>0.00323026159821893</v>
      </c>
    </row>
    <row r="59" customFormat="false" ht="15" hidden="false" customHeight="false" outlineLevel="0" collapsed="false">
      <c r="A59" s="4" t="s">
        <v>68</v>
      </c>
      <c r="B59" s="4" t="n">
        <v>1</v>
      </c>
      <c r="C59" s="5" t="n">
        <v>462180.32</v>
      </c>
      <c r="D59" s="5" t="n">
        <v>473628.15</v>
      </c>
      <c r="E59" s="6" t="n">
        <v>0.026</v>
      </c>
      <c r="F59" s="7" t="n">
        <v>0.4691</v>
      </c>
      <c r="G59" s="8" t="n">
        <f aca="false">MIN(75, MAX(25, F59*100))</f>
        <v>46.91</v>
      </c>
      <c r="H59" s="9" t="n">
        <f aca="false">E59*G59*D59/100</f>
        <v>5776.65309429</v>
      </c>
      <c r="I59" s="9" t="n">
        <f aca="false">E59*G59*D59/100</f>
        <v>5776.65309429</v>
      </c>
      <c r="J59" s="9" t="n">
        <f aca="false">IF(B59=1, H59, I59)</f>
        <v>5776.65309429</v>
      </c>
      <c r="K59" s="5" t="n">
        <v>5776.65</v>
      </c>
      <c r="L59" s="9" t="n">
        <f aca="false">J59-K59</f>
        <v>0.00309429000026285</v>
      </c>
    </row>
    <row r="60" customFormat="false" ht="15" hidden="false" customHeight="false" outlineLevel="0" collapsed="false">
      <c r="A60" s="4" t="s">
        <v>69</v>
      </c>
      <c r="B60" s="4" t="n">
        <v>1</v>
      </c>
      <c r="C60" s="5" t="n">
        <v>1405374.59</v>
      </c>
      <c r="D60" s="5" t="n">
        <v>1433867.88</v>
      </c>
      <c r="E60" s="6" t="n">
        <v>0.0213</v>
      </c>
      <c r="F60" s="7" t="n">
        <v>0.5416</v>
      </c>
      <c r="G60" s="8" t="n">
        <f aca="false">MIN(75, MAX(25, F60*100))</f>
        <v>54.16</v>
      </c>
      <c r="H60" s="9" t="n">
        <f aca="false">E60*G60*D60/100</f>
        <v>16541.2145731104</v>
      </c>
      <c r="I60" s="9" t="n">
        <f aca="false">E60*G60*D60/100</f>
        <v>16541.2145731104</v>
      </c>
      <c r="J60" s="9" t="n">
        <f aca="false">IF(B60=1, H60, I60)</f>
        <v>16541.2145731104</v>
      </c>
      <c r="K60" s="5" t="n">
        <v>16541.21</v>
      </c>
      <c r="L60" s="9" t="n">
        <f aca="false">J60-K60</f>
        <v>0.0045731104000879</v>
      </c>
    </row>
    <row r="61" customFormat="false" ht="15" hidden="false" customHeight="false" outlineLevel="0" collapsed="false">
      <c r="A61" s="4" t="s">
        <v>70</v>
      </c>
      <c r="B61" s="4" t="n">
        <v>1</v>
      </c>
      <c r="C61" s="5" t="n">
        <v>399963.2</v>
      </c>
      <c r="D61" s="5" t="n">
        <v>409378.9</v>
      </c>
      <c r="E61" s="6" t="n">
        <v>0.019</v>
      </c>
      <c r="F61" s="7" t="n">
        <v>0.5148</v>
      </c>
      <c r="G61" s="8" t="n">
        <f aca="false">MIN(75, MAX(25, F61*100))</f>
        <v>51.48</v>
      </c>
      <c r="H61" s="9" t="n">
        <f aca="false">E61*G61*D61/100</f>
        <v>4004.21689668</v>
      </c>
      <c r="I61" s="9" t="n">
        <f aca="false">E61*G61*D61/100</f>
        <v>4004.21689668</v>
      </c>
      <c r="J61" s="9" t="n">
        <f aca="false">IF(B61=1, H61, I61)</f>
        <v>4004.21689668</v>
      </c>
      <c r="K61" s="5" t="n">
        <v>4004.22</v>
      </c>
      <c r="L61" s="9" t="n">
        <f aca="false">J61-K61</f>
        <v>-0.00310331999935443</v>
      </c>
    </row>
    <row r="62" customFormat="false" ht="15" hidden="false" customHeight="false" outlineLevel="0" collapsed="false">
      <c r="A62" s="4" t="s">
        <v>71</v>
      </c>
      <c r="B62" s="4" t="n">
        <v>2</v>
      </c>
      <c r="C62" s="5" t="n">
        <v>274938.93</v>
      </c>
      <c r="D62" s="5" t="n">
        <v>285191.46</v>
      </c>
      <c r="E62" s="6" t="n">
        <v>0.1125</v>
      </c>
      <c r="F62" s="7" t="n">
        <v>0.5949</v>
      </c>
      <c r="G62" s="8" t="n">
        <f aca="false">MIN(75, MAX(25, F62*100))</f>
        <v>59.49</v>
      </c>
      <c r="H62" s="9" t="n">
        <f aca="false">E62*G62*D62/100</f>
        <v>19086.794949825</v>
      </c>
      <c r="I62" s="9" t="n">
        <f aca="false">E62*G62*D62/100</f>
        <v>19086.794949825</v>
      </c>
      <c r="J62" s="9" t="n">
        <f aca="false">IF(B62=1, H62, I62)</f>
        <v>19086.794949825</v>
      </c>
      <c r="K62" s="5" t="n">
        <v>19086.79</v>
      </c>
      <c r="L62" s="9" t="n">
        <f aca="false">J62-K62</f>
        <v>0.0049498250009492</v>
      </c>
    </row>
    <row r="63" customFormat="false" ht="15" hidden="false" customHeight="false" outlineLevel="0" collapsed="false">
      <c r="A63" s="4" t="s">
        <v>72</v>
      </c>
      <c r="B63" s="4" t="n">
        <v>1</v>
      </c>
      <c r="C63" s="5" t="n">
        <v>647881.55</v>
      </c>
      <c r="D63" s="5" t="n">
        <v>665113.05</v>
      </c>
      <c r="E63" s="6" t="n">
        <v>0.0221</v>
      </c>
      <c r="F63" s="7" t="n">
        <v>0.5133</v>
      </c>
      <c r="G63" s="8" t="n">
        <f aca="false">MIN(75, MAX(25, F63*100))</f>
        <v>51.33</v>
      </c>
      <c r="H63" s="9" t="n">
        <f aca="false">E63*G63*D63/100</f>
        <v>7544.9958812865</v>
      </c>
      <c r="I63" s="9" t="n">
        <f aca="false">E63*G63*D63/100</f>
        <v>7544.9958812865</v>
      </c>
      <c r="J63" s="9" t="n">
        <f aca="false">IF(B63=1, H63, I63)</f>
        <v>7544.9958812865</v>
      </c>
      <c r="K63" s="5" t="n">
        <v>7545</v>
      </c>
      <c r="L63" s="9" t="n">
        <f aca="false">J63-K63</f>
        <v>-0.0041187134993379</v>
      </c>
    </row>
    <row r="64" customFormat="false" ht="15" hidden="false" customHeight="false" outlineLevel="0" collapsed="false">
      <c r="A64" s="4" t="s">
        <v>73</v>
      </c>
      <c r="B64" s="4" t="n">
        <v>1</v>
      </c>
      <c r="C64" s="5" t="n">
        <v>187572.67</v>
      </c>
      <c r="D64" s="5" t="n">
        <v>195247.98</v>
      </c>
      <c r="E64" s="6" t="n">
        <v>0.0209</v>
      </c>
      <c r="F64" s="7" t="n">
        <v>0.5818</v>
      </c>
      <c r="G64" s="8" t="n">
        <f aca="false">MIN(75, MAX(25, F64*100))</f>
        <v>58.18</v>
      </c>
      <c r="H64" s="9" t="n">
        <f aca="false">E64*G64*D64/100</f>
        <v>2374.1412425676</v>
      </c>
      <c r="I64" s="9" t="n">
        <f aca="false">E64*G64*D64/100</f>
        <v>2374.1412425676</v>
      </c>
      <c r="J64" s="9" t="n">
        <f aca="false">IF(B64=1, H64, I64)</f>
        <v>2374.1412425676</v>
      </c>
      <c r="K64" s="5" t="n">
        <v>2374.14</v>
      </c>
      <c r="L64" s="9" t="n">
        <f aca="false">J64-K64</f>
        <v>0.00124256760000208</v>
      </c>
    </row>
    <row r="65" customFormat="false" ht="15" hidden="false" customHeight="false" outlineLevel="0" collapsed="false">
      <c r="A65" s="4" t="s">
        <v>74</v>
      </c>
      <c r="B65" s="4" t="n">
        <v>1</v>
      </c>
      <c r="C65" s="5" t="n">
        <v>907675.1</v>
      </c>
      <c r="D65" s="5" t="n">
        <v>913760.73</v>
      </c>
      <c r="E65" s="6" t="n">
        <v>0.0256</v>
      </c>
      <c r="F65" s="7" t="n">
        <v>0.5172</v>
      </c>
      <c r="G65" s="8" t="n">
        <f aca="false">MIN(75, MAX(25, F65*100))</f>
        <v>51.72</v>
      </c>
      <c r="H65" s="9" t="n">
        <f aca="false">E65*G65*D65/100</f>
        <v>12098.4844686336</v>
      </c>
      <c r="I65" s="9" t="n">
        <f aca="false">E65*G65*D65/100</f>
        <v>12098.4844686336</v>
      </c>
      <c r="J65" s="9" t="n">
        <f aca="false">IF(B65=1, H65, I65)</f>
        <v>12098.4844686336</v>
      </c>
      <c r="K65" s="5" t="n">
        <v>12098.48</v>
      </c>
      <c r="L65" s="9" t="n">
        <f aca="false">J65-K65</f>
        <v>0.00446863360048155</v>
      </c>
    </row>
    <row r="66" customFormat="false" ht="15" hidden="false" customHeight="false" outlineLevel="0" collapsed="false">
      <c r="A66" s="4" t="s">
        <v>75</v>
      </c>
      <c r="B66" s="4" t="n">
        <v>1</v>
      </c>
      <c r="C66" s="5" t="n">
        <v>328507.12</v>
      </c>
      <c r="D66" s="5" t="n">
        <v>332803.36</v>
      </c>
      <c r="E66" s="6" t="n">
        <v>0.0204</v>
      </c>
      <c r="F66" s="7" t="n">
        <v>0.4578</v>
      </c>
      <c r="G66" s="8" t="n">
        <f aca="false">MIN(75, MAX(25, F66*100))</f>
        <v>45.78</v>
      </c>
      <c r="H66" s="9" t="n">
        <f aca="false">E66*G66*D66/100</f>
        <v>3108.0905154432</v>
      </c>
      <c r="I66" s="9" t="n">
        <f aca="false">E66*G66*D66/100</f>
        <v>3108.0905154432</v>
      </c>
      <c r="J66" s="9" t="n">
        <f aca="false">IF(B66=1, H66, I66)</f>
        <v>3108.0905154432</v>
      </c>
      <c r="K66" s="5" t="n">
        <v>3108.09</v>
      </c>
      <c r="L66" s="9" t="n">
        <f aca="false">J66-K66</f>
        <v>0.000515443200129084</v>
      </c>
    </row>
    <row r="67" customFormat="false" ht="15" hidden="false" customHeight="false" outlineLevel="0" collapsed="false">
      <c r="A67" s="4" t="s">
        <v>76</v>
      </c>
      <c r="B67" s="4" t="n">
        <v>1</v>
      </c>
      <c r="C67" s="5" t="n">
        <v>275681.43</v>
      </c>
      <c r="D67" s="5" t="n">
        <v>280535.85</v>
      </c>
      <c r="E67" s="6" t="n">
        <v>0.0195</v>
      </c>
      <c r="F67" s="7" t="n">
        <v>0.5698</v>
      </c>
      <c r="G67" s="8" t="n">
        <f aca="false">MIN(75, MAX(25, F67*100))</f>
        <v>56.98</v>
      </c>
      <c r="H67" s="9" t="n">
        <f aca="false">E67*G67*D67/100</f>
        <v>3117.061882935</v>
      </c>
      <c r="I67" s="9" t="n">
        <f aca="false">E67*G67*D67/100</f>
        <v>3117.061882935</v>
      </c>
      <c r="J67" s="9" t="n">
        <f aca="false">IF(B67=1, H67, I67)</f>
        <v>3117.061882935</v>
      </c>
      <c r="K67" s="5" t="n">
        <v>3117.06</v>
      </c>
      <c r="L67" s="9" t="n">
        <f aca="false">J67-K67</f>
        <v>0.0018829350001397</v>
      </c>
    </row>
    <row r="68" customFormat="false" ht="15" hidden="false" customHeight="false" outlineLevel="0" collapsed="false">
      <c r="A68" s="4" t="s">
        <v>77</v>
      </c>
      <c r="B68" s="4" t="n">
        <v>1</v>
      </c>
      <c r="C68" s="5" t="n">
        <v>0</v>
      </c>
      <c r="D68" s="5" t="n">
        <v>0</v>
      </c>
      <c r="E68" s="6" t="n">
        <v>0.0142</v>
      </c>
      <c r="F68" s="7" t="n">
        <v>0.5667</v>
      </c>
      <c r="G68" s="8" t="n">
        <f aca="false">MIN(75, MAX(25, F68*100))</f>
        <v>56.67</v>
      </c>
      <c r="H68" s="9" t="n">
        <f aca="false">E68*G68*D68/100</f>
        <v>0</v>
      </c>
      <c r="I68" s="9" t="n">
        <f aca="false">E68*G68*D68/100</f>
        <v>0</v>
      </c>
      <c r="J68" s="9" t="n">
        <f aca="false">IF(B68=1, H68, I68)</f>
        <v>0</v>
      </c>
      <c r="K68" s="5" t="n">
        <v>0</v>
      </c>
      <c r="L68" s="9" t="n">
        <f aca="false">J68-K68</f>
        <v>0</v>
      </c>
    </row>
    <row r="69" customFormat="false" ht="15" hidden="false" customHeight="false" outlineLevel="0" collapsed="false">
      <c r="A69" s="4" t="s">
        <v>78</v>
      </c>
      <c r="B69" s="4" t="n">
        <v>1</v>
      </c>
      <c r="C69" s="5" t="n">
        <v>361371.86</v>
      </c>
      <c r="D69" s="5" t="n">
        <v>379030.82</v>
      </c>
      <c r="E69" s="6" t="n">
        <v>0.0217</v>
      </c>
      <c r="F69" s="7" t="n">
        <v>0.4494</v>
      </c>
      <c r="G69" s="8" t="n">
        <f aca="false">MIN(75, MAX(25, F69*100))</f>
        <v>44.94</v>
      </c>
      <c r="H69" s="9" t="n">
        <f aca="false">E69*G69*D69/100</f>
        <v>3696.3009760236</v>
      </c>
      <c r="I69" s="9" t="n">
        <f aca="false">E69*G69*D69/100</f>
        <v>3696.3009760236</v>
      </c>
      <c r="J69" s="9" t="n">
        <f aca="false">IF(B69=1, H69, I69)</f>
        <v>3696.3009760236</v>
      </c>
      <c r="K69" s="5" t="n">
        <v>3696.3</v>
      </c>
      <c r="L69" s="9" t="n">
        <f aca="false">J69-K69</f>
        <v>0.00097602360028759</v>
      </c>
    </row>
    <row r="70" customFormat="false" ht="15" hidden="false" customHeight="false" outlineLevel="0" collapsed="false">
      <c r="A70" s="4" t="s">
        <v>79</v>
      </c>
      <c r="B70" s="4" t="n">
        <v>1</v>
      </c>
      <c r="C70" s="5" t="n">
        <v>1051348.6</v>
      </c>
      <c r="D70" s="5" t="n">
        <v>1055344.68</v>
      </c>
      <c r="E70" s="6" t="n">
        <v>0.0152</v>
      </c>
      <c r="F70" s="7" t="n">
        <v>0.4196</v>
      </c>
      <c r="G70" s="8" t="n">
        <f aca="false">MIN(75, MAX(25, F70*100))</f>
        <v>41.96</v>
      </c>
      <c r="H70" s="9" t="n">
        <f aca="false">E70*G70*D70/100</f>
        <v>6730.9039414656</v>
      </c>
      <c r="I70" s="9" t="n">
        <f aca="false">E70*G70*D70/100</f>
        <v>6730.9039414656</v>
      </c>
      <c r="J70" s="9" t="n">
        <f aca="false">IF(B70=1, H70, I70)</f>
        <v>6730.9039414656</v>
      </c>
      <c r="K70" s="5" t="n">
        <v>6730.9</v>
      </c>
      <c r="L70" s="9" t="n">
        <f aca="false">J70-K70</f>
        <v>0.00394146559938235</v>
      </c>
    </row>
    <row r="71" customFormat="false" ht="15" hidden="false" customHeight="false" outlineLevel="0" collapsed="false">
      <c r="A71" s="4" t="s">
        <v>80</v>
      </c>
      <c r="B71" s="4" t="n">
        <v>1</v>
      </c>
      <c r="C71" s="5" t="n">
        <v>807249.94</v>
      </c>
      <c r="D71" s="5" t="n">
        <v>812598.25</v>
      </c>
      <c r="E71" s="6" t="n">
        <v>0.0183</v>
      </c>
      <c r="F71" s="7" t="n">
        <v>0.4309</v>
      </c>
      <c r="G71" s="8" t="n">
        <f aca="false">MIN(75, MAX(25, F71*100))</f>
        <v>43.09</v>
      </c>
      <c r="H71" s="9" t="n">
        <f aca="false">E71*G71*D71/100</f>
        <v>6407.7191224275</v>
      </c>
      <c r="I71" s="9" t="n">
        <f aca="false">E71*G71*D71/100</f>
        <v>6407.7191224275</v>
      </c>
      <c r="J71" s="9" t="n">
        <f aca="false">IF(B71=1, H71, I71)</f>
        <v>6407.7191224275</v>
      </c>
      <c r="K71" s="5" t="n">
        <v>6407.72</v>
      </c>
      <c r="L71" s="9" t="n">
        <f aca="false">J71-K71</f>
        <v>-0.00087757250003051</v>
      </c>
    </row>
    <row r="72" customFormat="false" ht="15" hidden="false" customHeight="false" outlineLevel="0" collapsed="false">
      <c r="A72" s="4" t="s">
        <v>81</v>
      </c>
      <c r="B72" s="4" t="n">
        <v>1</v>
      </c>
      <c r="C72" s="5" t="n">
        <v>1199636.54</v>
      </c>
      <c r="D72" s="5" t="n">
        <v>1237127.2</v>
      </c>
      <c r="E72" s="6" t="n">
        <v>0.017</v>
      </c>
      <c r="F72" s="7" t="n">
        <v>0.424</v>
      </c>
      <c r="G72" s="8" t="n">
        <f aca="false">MIN(75, MAX(25, F72*100))</f>
        <v>42.4</v>
      </c>
      <c r="H72" s="9" t="n">
        <f aca="false">E72*G72*D72/100</f>
        <v>8917.2128576</v>
      </c>
      <c r="I72" s="9" t="n">
        <f aca="false">E72*G72*D72/100</f>
        <v>8917.2128576</v>
      </c>
      <c r="J72" s="9" t="n">
        <f aca="false">IF(B72=1, H72, I72)</f>
        <v>8917.2128576</v>
      </c>
      <c r="K72" s="5" t="n">
        <v>8917.21</v>
      </c>
      <c r="L72" s="9" t="n">
        <f aca="false">J72-K72</f>
        <v>0.00285760000042501</v>
      </c>
    </row>
    <row r="73" customFormat="false" ht="15" hidden="false" customHeight="false" outlineLevel="0" collapsed="false">
      <c r="A73" s="4" t="s">
        <v>82</v>
      </c>
      <c r="B73" s="4" t="n">
        <v>1</v>
      </c>
      <c r="C73" s="5" t="n">
        <v>1028069.73</v>
      </c>
      <c r="D73" s="5" t="n">
        <v>1058512.26</v>
      </c>
      <c r="E73" s="6" t="n">
        <v>0.0154</v>
      </c>
      <c r="F73" s="7" t="n">
        <v>0.5192</v>
      </c>
      <c r="G73" s="8" t="n">
        <f aca="false">MIN(75, MAX(25, F73*100))</f>
        <v>51.92</v>
      </c>
      <c r="H73" s="9" t="n">
        <f aca="false">E73*G73*D73/100</f>
        <v>8463.5253070368</v>
      </c>
      <c r="I73" s="9" t="n">
        <f aca="false">E73*G73*D73/100</f>
        <v>8463.5253070368</v>
      </c>
      <c r="J73" s="9" t="n">
        <f aca="false">IF(B73=1, H73, I73)</f>
        <v>8463.5253070368</v>
      </c>
      <c r="K73" s="5" t="n">
        <v>8463.53</v>
      </c>
      <c r="L73" s="9" t="n">
        <f aca="false">J73-K73</f>
        <v>-0.00469296319897694</v>
      </c>
    </row>
    <row r="74" customFormat="false" ht="15" hidden="false" customHeight="false" outlineLevel="0" collapsed="false">
      <c r="A74" s="4" t="s">
        <v>83</v>
      </c>
      <c r="B74" s="4" t="n">
        <v>1</v>
      </c>
      <c r="C74" s="5" t="n">
        <v>481860.33</v>
      </c>
      <c r="D74" s="5" t="n">
        <v>497874.81</v>
      </c>
      <c r="E74" s="6" t="n">
        <v>0.0153</v>
      </c>
      <c r="F74" s="7" t="n">
        <v>0.4245</v>
      </c>
      <c r="G74" s="8" t="n">
        <f aca="false">MIN(75, MAX(25, F74*100))</f>
        <v>42.45</v>
      </c>
      <c r="H74" s="9" t="n">
        <f aca="false">E74*G74*D74/100</f>
        <v>3233.6222097285</v>
      </c>
      <c r="I74" s="9" t="n">
        <f aca="false">E74*G74*D74/100</f>
        <v>3233.6222097285</v>
      </c>
      <c r="J74" s="9" t="n">
        <f aca="false">IF(B74=1, H74, I74)</f>
        <v>3233.6222097285</v>
      </c>
      <c r="K74" s="5" t="n">
        <v>3233.62</v>
      </c>
      <c r="L74" s="9" t="n">
        <f aca="false">J74-K74</f>
        <v>0.00220972849956524</v>
      </c>
    </row>
    <row r="75" customFormat="false" ht="15" hidden="false" customHeight="false" outlineLevel="0" collapsed="false">
      <c r="A75" s="4" t="s">
        <v>84</v>
      </c>
      <c r="B75" s="4" t="n">
        <v>1</v>
      </c>
      <c r="C75" s="5" t="n">
        <v>456759.49</v>
      </c>
      <c r="D75" s="5" t="n">
        <v>473248.37</v>
      </c>
      <c r="E75" s="6" t="n">
        <v>0.0182</v>
      </c>
      <c r="F75" s="7" t="n">
        <v>0.3793</v>
      </c>
      <c r="G75" s="8" t="n">
        <f aca="false">MIN(75, MAX(25, F75*100))</f>
        <v>37.93</v>
      </c>
      <c r="H75" s="9" t="n">
        <f aca="false">E75*G75*D75/100</f>
        <v>3266.9565426862</v>
      </c>
      <c r="I75" s="9" t="n">
        <f aca="false">E75*G75*D75/100</f>
        <v>3266.9565426862</v>
      </c>
      <c r="J75" s="9" t="n">
        <f aca="false">IF(B75=1, H75, I75)</f>
        <v>3266.9565426862</v>
      </c>
      <c r="K75" s="5" t="n">
        <v>3266.96</v>
      </c>
      <c r="L75" s="9" t="n">
        <f aca="false">J75-K75</f>
        <v>-0.0034573138000269</v>
      </c>
    </row>
    <row r="76" customFormat="false" ht="15" hidden="false" customHeight="false" outlineLevel="0" collapsed="false">
      <c r="A76" s="4" t="s">
        <v>85</v>
      </c>
      <c r="B76" s="4" t="n">
        <v>1</v>
      </c>
      <c r="C76" s="5" t="n">
        <v>693181.17</v>
      </c>
      <c r="D76" s="5" t="n">
        <v>695349.57</v>
      </c>
      <c r="E76" s="6" t="n">
        <v>0.023</v>
      </c>
      <c r="F76" s="7" t="n">
        <v>0.5926</v>
      </c>
      <c r="G76" s="8" t="n">
        <f aca="false">MIN(75, MAX(25, F76*100))</f>
        <v>59.26</v>
      </c>
      <c r="H76" s="9" t="n">
        <f aca="false">E76*G76*D76/100</f>
        <v>9477.475569186</v>
      </c>
      <c r="I76" s="9" t="n">
        <f aca="false">E76*G76*D76/100</f>
        <v>9477.475569186</v>
      </c>
      <c r="J76" s="9" t="n">
        <f aca="false">IF(B76=1, H76, I76)</f>
        <v>9477.475569186</v>
      </c>
      <c r="K76" s="5" t="n">
        <v>9477.48</v>
      </c>
      <c r="L76" s="9" t="n">
        <f aca="false">J76-K76</f>
        <v>-0.00443081400044321</v>
      </c>
    </row>
    <row r="77" customFormat="false" ht="15" hidden="false" customHeight="false" outlineLevel="0" collapsed="false">
      <c r="A77" s="4" t="s">
        <v>86</v>
      </c>
      <c r="B77" s="4" t="n">
        <v>1</v>
      </c>
      <c r="C77" s="5" t="n">
        <v>583784.27</v>
      </c>
      <c r="D77" s="5" t="n">
        <v>594984.46</v>
      </c>
      <c r="E77" s="6" t="n">
        <v>0.019</v>
      </c>
      <c r="F77" s="7" t="n">
        <v>0.3914</v>
      </c>
      <c r="G77" s="8" t="n">
        <f aca="false">MIN(75, MAX(25, F77*100))</f>
        <v>39.14</v>
      </c>
      <c r="H77" s="9" t="n">
        <f aca="false">E77*G77*D77/100</f>
        <v>4424.661435236</v>
      </c>
      <c r="I77" s="9" t="n">
        <f aca="false">E77*G77*D77/100</f>
        <v>4424.661435236</v>
      </c>
      <c r="J77" s="9" t="n">
        <f aca="false">IF(B77=1, H77, I77)</f>
        <v>4424.661435236</v>
      </c>
      <c r="K77" s="5" t="n">
        <v>4424.66</v>
      </c>
      <c r="L77" s="9" t="n">
        <f aca="false">J77-K77</f>
        <v>0.00143523599945183</v>
      </c>
    </row>
    <row r="78" customFormat="false" ht="15" hidden="false" customHeight="false" outlineLevel="0" collapsed="false">
      <c r="A78" s="4" t="s">
        <v>87</v>
      </c>
      <c r="B78" s="4" t="n">
        <v>1</v>
      </c>
      <c r="C78" s="5" t="n">
        <v>1325137.98</v>
      </c>
      <c r="D78" s="5" t="n">
        <v>1374334.94</v>
      </c>
      <c r="E78" s="6" t="n">
        <v>0.016</v>
      </c>
      <c r="F78" s="7" t="n">
        <v>0.4872</v>
      </c>
      <c r="G78" s="8" t="n">
        <f aca="false">MIN(75, MAX(25, F78*100))</f>
        <v>48.72</v>
      </c>
      <c r="H78" s="9" t="n">
        <f aca="false">E78*G78*D78/100</f>
        <v>10713.215724288</v>
      </c>
      <c r="I78" s="9" t="n">
        <f aca="false">E78*G78*D78/100</f>
        <v>10713.215724288</v>
      </c>
      <c r="J78" s="9" t="n">
        <f aca="false">IF(B78=1, H78, I78)</f>
        <v>10713.215724288</v>
      </c>
      <c r="K78" s="5" t="n">
        <v>10713.22</v>
      </c>
      <c r="L78" s="9" t="n">
        <f aca="false">J78-K78</f>
        <v>-0.00427571200089005</v>
      </c>
    </row>
    <row r="79" customFormat="false" ht="15" hidden="false" customHeight="false" outlineLevel="0" collapsed="false">
      <c r="A79" s="4" t="s">
        <v>88</v>
      </c>
      <c r="B79" s="4" t="n">
        <v>1</v>
      </c>
      <c r="C79" s="5" t="n">
        <v>895376.28</v>
      </c>
      <c r="D79" s="5" t="n">
        <v>931434.9</v>
      </c>
      <c r="E79" s="6" t="n">
        <v>0.0234</v>
      </c>
      <c r="F79" s="7" t="n">
        <v>0.5941</v>
      </c>
      <c r="G79" s="8" t="n">
        <f aca="false">MIN(75, MAX(25, F79*100))</f>
        <v>59.41</v>
      </c>
      <c r="H79" s="9" t="n">
        <f aca="false">E79*G79*D79/100</f>
        <v>12948.752093706</v>
      </c>
      <c r="I79" s="9" t="n">
        <f aca="false">E79*G79*D79/100</f>
        <v>12948.752093706</v>
      </c>
      <c r="J79" s="9" t="n">
        <f aca="false">IF(B79=1, H79, I79)</f>
        <v>12948.752093706</v>
      </c>
      <c r="K79" s="5" t="n">
        <v>12948.75</v>
      </c>
      <c r="L79" s="9" t="n">
        <f aca="false">J79-K79</f>
        <v>0.00209370599986869</v>
      </c>
    </row>
    <row r="80" customFormat="false" ht="15" hidden="false" customHeight="false" outlineLevel="0" collapsed="false">
      <c r="A80" s="4" t="s">
        <v>89</v>
      </c>
      <c r="B80" s="4" t="n">
        <v>1</v>
      </c>
      <c r="C80" s="5" t="n">
        <v>420362.11</v>
      </c>
      <c r="D80" s="5" t="n">
        <v>436522.6</v>
      </c>
      <c r="E80" s="6" t="n">
        <v>0.0149</v>
      </c>
      <c r="F80" s="7" t="n">
        <v>0.5884</v>
      </c>
      <c r="G80" s="8" t="n">
        <f aca="false">MIN(75, MAX(25, F80*100))</f>
        <v>58.84</v>
      </c>
      <c r="H80" s="9" t="n">
        <f aca="false">E80*G80*D80/100</f>
        <v>3827.063477816</v>
      </c>
      <c r="I80" s="9" t="n">
        <f aca="false">E80*G80*D80/100</f>
        <v>3827.063477816</v>
      </c>
      <c r="J80" s="9" t="n">
        <f aca="false">IF(B80=1, H80, I80)</f>
        <v>3827.063477816</v>
      </c>
      <c r="K80" s="5" t="n">
        <v>3827.06</v>
      </c>
      <c r="L80" s="9" t="n">
        <f aca="false">J80-K80</f>
        <v>0.00347781600021335</v>
      </c>
    </row>
    <row r="81" customFormat="false" ht="15" hidden="false" customHeight="false" outlineLevel="0" collapsed="false">
      <c r="A81" s="4" t="s">
        <v>90</v>
      </c>
      <c r="B81" s="4" t="n">
        <v>1</v>
      </c>
      <c r="C81" s="5" t="n">
        <v>589606.61</v>
      </c>
      <c r="D81" s="5" t="n">
        <v>590086.59</v>
      </c>
      <c r="E81" s="6" t="n">
        <v>0.0215</v>
      </c>
      <c r="F81" s="7" t="n">
        <v>0.601</v>
      </c>
      <c r="G81" s="8" t="n">
        <f aca="false">MIN(75, MAX(25, F81*100))</f>
        <v>60.1</v>
      </c>
      <c r="H81" s="9" t="n">
        <f aca="false">E81*G81*D81/100</f>
        <v>7624.803872685</v>
      </c>
      <c r="I81" s="9" t="n">
        <f aca="false">E81*G81*D81/100</f>
        <v>7624.803872685</v>
      </c>
      <c r="J81" s="9" t="n">
        <f aca="false">IF(B81=1, H81, I81)</f>
        <v>7624.803872685</v>
      </c>
      <c r="K81" s="5" t="n">
        <v>7624.8</v>
      </c>
      <c r="L81" s="9" t="n">
        <f aca="false">J81-K81</f>
        <v>0.00387268499798665</v>
      </c>
    </row>
    <row r="82" customFormat="false" ht="15" hidden="false" customHeight="false" outlineLevel="0" collapsed="false">
      <c r="A82" s="4" t="s">
        <v>91</v>
      </c>
      <c r="B82" s="4" t="n">
        <v>1</v>
      </c>
      <c r="C82" s="5" t="n">
        <v>0</v>
      </c>
      <c r="D82" s="5" t="n">
        <v>0</v>
      </c>
      <c r="E82" s="6" t="n">
        <v>0.0141</v>
      </c>
      <c r="F82" s="7" t="n">
        <v>0.4531</v>
      </c>
      <c r="G82" s="8" t="n">
        <f aca="false">MIN(75, MAX(25, F82*100))</f>
        <v>45.31</v>
      </c>
      <c r="H82" s="9" t="n">
        <f aca="false">E82*G82*D82/100</f>
        <v>0</v>
      </c>
      <c r="I82" s="9" t="n">
        <f aca="false">E82*G82*D82/100</f>
        <v>0</v>
      </c>
      <c r="J82" s="9" t="n">
        <f aca="false">IF(B82=1, H82, I82)</f>
        <v>0</v>
      </c>
      <c r="K82" s="5" t="n">
        <v>0</v>
      </c>
      <c r="L82" s="9" t="n">
        <f aca="false">J82-K82</f>
        <v>0</v>
      </c>
    </row>
    <row r="83" customFormat="false" ht="15" hidden="false" customHeight="false" outlineLevel="0" collapsed="false">
      <c r="A83" s="4" t="s">
        <v>92</v>
      </c>
      <c r="B83" s="4" t="n">
        <v>1</v>
      </c>
      <c r="C83" s="5" t="n">
        <v>191306.24</v>
      </c>
      <c r="D83" s="5" t="n">
        <v>198873.14</v>
      </c>
      <c r="E83" s="6" t="n">
        <v>0.0182</v>
      </c>
      <c r="F83" s="7" t="n">
        <v>0.4788</v>
      </c>
      <c r="G83" s="8" t="n">
        <f aca="false">MIN(75, MAX(25, F83*100))</f>
        <v>47.88</v>
      </c>
      <c r="H83" s="9" t="n">
        <f aca="false">E83*G83*D83/100</f>
        <v>1733.0123616624</v>
      </c>
      <c r="I83" s="9" t="n">
        <f aca="false">E83*G83*D83/100</f>
        <v>1733.0123616624</v>
      </c>
      <c r="J83" s="9" t="n">
        <f aca="false">IF(B83=1, H83, I83)</f>
        <v>1733.0123616624</v>
      </c>
      <c r="K83" s="5" t="n">
        <v>1733.01</v>
      </c>
      <c r="L83" s="9" t="n">
        <f aca="false">J83-K83</f>
        <v>0.00236166240028979</v>
      </c>
    </row>
    <row r="84" customFormat="false" ht="15" hidden="false" customHeight="false" outlineLevel="0" collapsed="false">
      <c r="A84" s="4" t="s">
        <v>93</v>
      </c>
      <c r="B84" s="4" t="n">
        <v>2</v>
      </c>
      <c r="C84" s="5" t="n">
        <v>0</v>
      </c>
      <c r="D84" s="5" t="n">
        <v>0</v>
      </c>
      <c r="E84" s="6" t="n">
        <v>0.0852</v>
      </c>
      <c r="F84" s="7" t="n">
        <v>0.3703</v>
      </c>
      <c r="G84" s="8" t="n">
        <f aca="false">MIN(75, MAX(25, F84*100))</f>
        <v>37.03</v>
      </c>
      <c r="H84" s="9" t="n">
        <f aca="false">E84*G84*D84/100</f>
        <v>0</v>
      </c>
      <c r="I84" s="9" t="n">
        <f aca="false">E84*G84*D84/100</f>
        <v>0</v>
      </c>
      <c r="J84" s="9" t="n">
        <f aca="false">IF(B84=1, H84, I84)</f>
        <v>0</v>
      </c>
      <c r="K84" s="5" t="n">
        <v>0</v>
      </c>
      <c r="L84" s="9" t="n">
        <f aca="false">J84-K84</f>
        <v>0</v>
      </c>
    </row>
    <row r="85" customFormat="false" ht="15" hidden="false" customHeight="false" outlineLevel="0" collapsed="false">
      <c r="A85" s="4" t="s">
        <v>94</v>
      </c>
      <c r="B85" s="4" t="n">
        <v>1</v>
      </c>
      <c r="C85" s="5" t="n">
        <v>714685.85</v>
      </c>
      <c r="D85" s="5" t="n">
        <v>741152.75</v>
      </c>
      <c r="E85" s="6" t="n">
        <v>0.0177</v>
      </c>
      <c r="F85" s="7" t="n">
        <v>0.5725</v>
      </c>
      <c r="G85" s="8" t="n">
        <f aca="false">MIN(75, MAX(25, F85*100))</f>
        <v>57.25</v>
      </c>
      <c r="H85" s="9" t="n">
        <f aca="false">E85*G85*D85/100</f>
        <v>7510.2861039375</v>
      </c>
      <c r="I85" s="9" t="n">
        <f aca="false">E85*G85*D85/100</f>
        <v>7510.2861039375</v>
      </c>
      <c r="J85" s="9" t="n">
        <f aca="false">IF(B85=1, H85, I85)</f>
        <v>7510.2861039375</v>
      </c>
      <c r="K85" s="5" t="n">
        <v>7510.29</v>
      </c>
      <c r="L85" s="9" t="n">
        <f aca="false">J85-K85</f>
        <v>-0.0038960624997344</v>
      </c>
    </row>
    <row r="86" customFormat="false" ht="15" hidden="false" customHeight="false" outlineLevel="0" collapsed="false">
      <c r="A86" s="4" t="s">
        <v>95</v>
      </c>
      <c r="B86" s="4" t="n">
        <v>1</v>
      </c>
      <c r="C86" s="5" t="n">
        <v>525599.08</v>
      </c>
      <c r="D86" s="5" t="n">
        <v>526756.39</v>
      </c>
      <c r="E86" s="6" t="n">
        <v>0.0167</v>
      </c>
      <c r="F86" s="7" t="n">
        <v>0.5026</v>
      </c>
      <c r="G86" s="8" t="n">
        <f aca="false">MIN(75, MAX(25, F86*100))</f>
        <v>50.26</v>
      </c>
      <c r="H86" s="9" t="n">
        <f aca="false">E86*G86*D86/100</f>
        <v>4421.2876189538</v>
      </c>
      <c r="I86" s="9" t="n">
        <f aca="false">E86*G86*D86/100</f>
        <v>4421.2876189538</v>
      </c>
      <c r="J86" s="9" t="n">
        <f aca="false">IF(B86=1, H86, I86)</f>
        <v>4421.2876189538</v>
      </c>
      <c r="K86" s="5" t="n">
        <v>4421.29</v>
      </c>
      <c r="L86" s="9" t="n">
        <f aca="false">J86-K86</f>
        <v>-0.0023810461998437</v>
      </c>
    </row>
    <row r="87" customFormat="false" ht="15" hidden="false" customHeight="false" outlineLevel="0" collapsed="false">
      <c r="A87" s="4" t="s">
        <v>96</v>
      </c>
      <c r="B87" s="4" t="n">
        <v>2</v>
      </c>
      <c r="C87" s="5" t="n">
        <v>281524.6</v>
      </c>
      <c r="D87" s="5" t="n">
        <v>288469.26</v>
      </c>
      <c r="E87" s="6" t="n">
        <v>0.1174</v>
      </c>
      <c r="F87" s="7" t="n">
        <v>0.5275</v>
      </c>
      <c r="G87" s="8" t="n">
        <f aca="false">MIN(75, MAX(25, F87*100))</f>
        <v>52.75</v>
      </c>
      <c r="H87" s="9" t="n">
        <f aca="false">E87*G87*D87/100</f>
        <v>17864.46856791</v>
      </c>
      <c r="I87" s="9" t="n">
        <f aca="false">E87*G87*D87/100</f>
        <v>17864.46856791</v>
      </c>
      <c r="J87" s="9" t="n">
        <f aca="false">IF(B87=1, H87, I87)</f>
        <v>17864.46856791</v>
      </c>
      <c r="K87" s="5" t="n">
        <v>17864.47</v>
      </c>
      <c r="L87" s="9" t="n">
        <f aca="false">J87-K87</f>
        <v>-0.00143209000088973</v>
      </c>
    </row>
    <row r="88" customFormat="false" ht="15" hidden="false" customHeight="false" outlineLevel="0" collapsed="false">
      <c r="A88" s="4" t="s">
        <v>97</v>
      </c>
      <c r="B88" s="4" t="n">
        <v>1</v>
      </c>
      <c r="C88" s="5" t="n">
        <v>526286.85</v>
      </c>
      <c r="D88" s="5" t="n">
        <v>536663.94</v>
      </c>
      <c r="E88" s="6" t="n">
        <v>0.0201</v>
      </c>
      <c r="F88" s="7" t="n">
        <v>0.5412</v>
      </c>
      <c r="G88" s="8" t="n">
        <f aca="false">MIN(75, MAX(25, F88*100))</f>
        <v>54.12</v>
      </c>
      <c r="H88" s="9" t="n">
        <f aca="false">E88*G88*D88/100</f>
        <v>5837.8947389928</v>
      </c>
      <c r="I88" s="9" t="n">
        <f aca="false">E88*G88*D88/100</f>
        <v>5837.8947389928</v>
      </c>
      <c r="J88" s="9" t="n">
        <f aca="false">IF(B88=1, H88, I88)</f>
        <v>5837.8947389928</v>
      </c>
      <c r="K88" s="5" t="n">
        <v>5837.89</v>
      </c>
      <c r="L88" s="9" t="n">
        <f aca="false">J88-K88</f>
        <v>0.00473899279950274</v>
      </c>
    </row>
    <row r="89" customFormat="false" ht="15" hidden="false" customHeight="false" outlineLevel="0" collapsed="false">
      <c r="A89" s="4" t="s">
        <v>98</v>
      </c>
      <c r="B89" s="4" t="n">
        <v>1</v>
      </c>
      <c r="C89" s="5" t="n">
        <v>353838.89</v>
      </c>
      <c r="D89" s="5" t="n">
        <v>354552.4</v>
      </c>
      <c r="E89" s="6" t="n">
        <v>0.0239</v>
      </c>
      <c r="F89" s="7" t="n">
        <v>0.5591</v>
      </c>
      <c r="G89" s="8" t="n">
        <f aca="false">MIN(75, MAX(25, F89*100))</f>
        <v>55.91</v>
      </c>
      <c r="H89" s="9" t="n">
        <f aca="false">E89*G89*D89/100</f>
        <v>4737.702899476</v>
      </c>
      <c r="I89" s="9" t="n">
        <f aca="false">E89*G89*D89/100</f>
        <v>4737.702899476</v>
      </c>
      <c r="J89" s="9" t="n">
        <f aca="false">IF(B89=1, H89, I89)</f>
        <v>4737.702899476</v>
      </c>
      <c r="K89" s="5" t="n">
        <v>4737.7</v>
      </c>
      <c r="L89" s="9" t="n">
        <f aca="false">J89-K89</f>
        <v>0.00289947600140295</v>
      </c>
    </row>
    <row r="90" customFormat="false" ht="15" hidden="false" customHeight="false" outlineLevel="0" collapsed="false">
      <c r="A90" s="4" t="s">
        <v>99</v>
      </c>
      <c r="B90" s="4" t="n">
        <v>1</v>
      </c>
      <c r="C90" s="5" t="n">
        <v>195521.11</v>
      </c>
      <c r="D90" s="5" t="n">
        <v>201836.31</v>
      </c>
      <c r="E90" s="6" t="n">
        <v>0.026</v>
      </c>
      <c r="F90" s="7" t="n">
        <v>0.4093</v>
      </c>
      <c r="G90" s="8" t="n">
        <f aca="false">MIN(75, MAX(25, F90*100))</f>
        <v>40.93</v>
      </c>
      <c r="H90" s="9" t="n">
        <f aca="false">E90*G90*D90/100</f>
        <v>2147.901643758</v>
      </c>
      <c r="I90" s="9" t="n">
        <f aca="false">E90*G90*D90/100</f>
        <v>2147.901643758</v>
      </c>
      <c r="J90" s="9" t="n">
        <f aca="false">IF(B90=1, H90, I90)</f>
        <v>2147.901643758</v>
      </c>
      <c r="K90" s="5" t="n">
        <v>2147.9</v>
      </c>
      <c r="L90" s="9" t="n">
        <f aca="false">J90-K90</f>
        <v>0.00164375799977279</v>
      </c>
    </row>
    <row r="91" customFormat="false" ht="15" hidden="false" customHeight="false" outlineLevel="0" collapsed="false">
      <c r="A91" s="4" t="s">
        <v>100</v>
      </c>
      <c r="B91" s="4" t="n">
        <v>1</v>
      </c>
      <c r="C91" s="5" t="n">
        <v>414653.59</v>
      </c>
      <c r="D91" s="5" t="n">
        <v>431132.88</v>
      </c>
      <c r="E91" s="6" t="n">
        <v>0.0216</v>
      </c>
      <c r="F91" s="7" t="n">
        <v>0.5907</v>
      </c>
      <c r="G91" s="8" t="n">
        <f aca="false">MIN(75, MAX(25, F91*100))</f>
        <v>59.07</v>
      </c>
      <c r="H91" s="9" t="n">
        <f aca="false">E91*G91*D91/100</f>
        <v>5500.8761518656</v>
      </c>
      <c r="I91" s="9" t="n">
        <f aca="false">E91*G91*D91/100</f>
        <v>5500.8761518656</v>
      </c>
      <c r="J91" s="9" t="n">
        <f aca="false">IF(B91=1, H91, I91)</f>
        <v>5500.8761518656</v>
      </c>
      <c r="K91" s="5" t="n">
        <v>5500.88</v>
      </c>
      <c r="L91" s="9" t="n">
        <f aca="false">J91-K91</f>
        <v>-0.00384813439904974</v>
      </c>
    </row>
    <row r="92" customFormat="false" ht="15" hidden="false" customHeight="false" outlineLevel="0" collapsed="false">
      <c r="A92" s="4" t="s">
        <v>101</v>
      </c>
      <c r="B92" s="4" t="n">
        <v>1</v>
      </c>
      <c r="C92" s="5" t="n">
        <v>203440.88</v>
      </c>
      <c r="D92" s="5" t="n">
        <v>205207.89</v>
      </c>
      <c r="E92" s="6" t="n">
        <v>0.0252</v>
      </c>
      <c r="F92" s="7" t="n">
        <v>0.6475</v>
      </c>
      <c r="G92" s="8" t="n">
        <f aca="false">MIN(75, MAX(25, F92*100))</f>
        <v>64.75</v>
      </c>
      <c r="H92" s="9" t="n">
        <f aca="false">E92*G92*D92/100</f>
        <v>3348.37714113</v>
      </c>
      <c r="I92" s="9" t="n">
        <f aca="false">E92*G92*D92/100</f>
        <v>3348.37714113</v>
      </c>
      <c r="J92" s="9" t="n">
        <f aca="false">IF(B92=1, H92, I92)</f>
        <v>3348.37714113</v>
      </c>
      <c r="K92" s="5" t="n">
        <v>3348.38</v>
      </c>
      <c r="L92" s="9" t="n">
        <f aca="false">J92-K92</f>
        <v>-0.00285886999972718</v>
      </c>
    </row>
    <row r="93" customFormat="false" ht="15" hidden="false" customHeight="false" outlineLevel="0" collapsed="false">
      <c r="A93" s="4" t="s">
        <v>102</v>
      </c>
      <c r="B93" s="4" t="n">
        <v>2</v>
      </c>
      <c r="C93" s="5" t="n">
        <v>1006680.08</v>
      </c>
      <c r="D93" s="5" t="n">
        <v>1055028.85</v>
      </c>
      <c r="E93" s="6" t="n">
        <v>0.1449</v>
      </c>
      <c r="F93" s="7" t="n">
        <v>0.6082</v>
      </c>
      <c r="G93" s="8" t="n">
        <f aca="false">MIN(75, MAX(25, F93*100))</f>
        <v>60.82</v>
      </c>
      <c r="H93" s="9" t="n">
        <f aca="false">E93*G93*D93/100</f>
        <v>92977.772397993</v>
      </c>
      <c r="I93" s="9" t="n">
        <f aca="false">E93*G93*D93/100</f>
        <v>92977.772397993</v>
      </c>
      <c r="J93" s="9" t="n">
        <f aca="false">IF(B93=1, H93, I93)</f>
        <v>92977.772397993</v>
      </c>
      <c r="K93" s="5" t="n">
        <v>92977.77</v>
      </c>
      <c r="L93" s="9" t="n">
        <f aca="false">J93-K93</f>
        <v>0.00239799298287835</v>
      </c>
    </row>
    <row r="94" customFormat="false" ht="15" hidden="false" customHeight="false" outlineLevel="0" collapsed="false">
      <c r="A94" s="4" t="s">
        <v>103</v>
      </c>
      <c r="B94" s="4" t="n">
        <v>1</v>
      </c>
      <c r="C94" s="5" t="n">
        <v>1725140.18</v>
      </c>
      <c r="D94" s="5" t="n">
        <v>1794905.45</v>
      </c>
      <c r="E94" s="6" t="n">
        <v>0.0162</v>
      </c>
      <c r="F94" s="7" t="n">
        <v>0.4455</v>
      </c>
      <c r="G94" s="8" t="n">
        <f aca="false">MIN(75, MAX(25, F94*100))</f>
        <v>44.55</v>
      </c>
      <c r="H94" s="9" t="n">
        <f aca="false">E94*G94*D94/100</f>
        <v>12954.012123195</v>
      </c>
      <c r="I94" s="9" t="n">
        <f aca="false">E94*G94*D94/100</f>
        <v>12954.012123195</v>
      </c>
      <c r="J94" s="9" t="n">
        <f aca="false">IF(B94=1, H94, I94)</f>
        <v>12954.012123195</v>
      </c>
      <c r="K94" s="5" t="n">
        <v>12954.01</v>
      </c>
      <c r="L94" s="9" t="n">
        <f aca="false">J94-K94</f>
        <v>0.00212319499769365</v>
      </c>
    </row>
    <row r="95" customFormat="false" ht="15" hidden="false" customHeight="false" outlineLevel="0" collapsed="false">
      <c r="A95" s="4" t="s">
        <v>104</v>
      </c>
      <c r="B95" s="4" t="n">
        <v>1</v>
      </c>
      <c r="C95" s="5" t="n">
        <v>437687.74</v>
      </c>
      <c r="D95" s="5" t="n">
        <v>454281.44</v>
      </c>
      <c r="E95" s="6" t="n">
        <v>0.0235</v>
      </c>
      <c r="F95" s="7" t="n">
        <v>0.5234</v>
      </c>
      <c r="G95" s="8" t="n">
        <f aca="false">MIN(75, MAX(25, F95*100))</f>
        <v>52.34</v>
      </c>
      <c r="H95" s="9" t="n">
        <f aca="false">E95*G95*D95/100</f>
        <v>5587.616283856</v>
      </c>
      <c r="I95" s="9" t="n">
        <f aca="false">E95*G95*D95/100</f>
        <v>5587.616283856</v>
      </c>
      <c r="J95" s="9" t="n">
        <f aca="false">IF(B95=1, H95, I95)</f>
        <v>5587.616283856</v>
      </c>
      <c r="K95" s="5" t="n">
        <v>5587.62</v>
      </c>
      <c r="L95" s="9" t="n">
        <f aca="false">J95-K95</f>
        <v>-0.00371614400046383</v>
      </c>
    </row>
    <row r="96" customFormat="false" ht="15" hidden="false" customHeight="false" outlineLevel="0" collapsed="false">
      <c r="A96" s="4" t="s">
        <v>105</v>
      </c>
      <c r="B96" s="4" t="n">
        <v>1</v>
      </c>
      <c r="C96" s="5" t="n">
        <v>0</v>
      </c>
      <c r="D96" s="5" t="n">
        <v>0</v>
      </c>
      <c r="E96" s="6" t="n">
        <v>0.0219</v>
      </c>
      <c r="F96" s="7" t="n">
        <v>0.4392</v>
      </c>
      <c r="G96" s="8" t="n">
        <f aca="false">MIN(75, MAX(25, F96*100))</f>
        <v>43.92</v>
      </c>
      <c r="H96" s="9" t="n">
        <f aca="false">E96*G96*D96/100</f>
        <v>0</v>
      </c>
      <c r="I96" s="9" t="n">
        <f aca="false">E96*G96*D96/100</f>
        <v>0</v>
      </c>
      <c r="J96" s="9" t="n">
        <f aca="false">IF(B96=1, H96, I96)</f>
        <v>0</v>
      </c>
      <c r="K96" s="5" t="n">
        <v>0</v>
      </c>
      <c r="L96" s="9" t="n">
        <f aca="false">J96-K96</f>
        <v>0</v>
      </c>
    </row>
    <row r="97" customFormat="false" ht="15" hidden="false" customHeight="false" outlineLevel="0" collapsed="false">
      <c r="A97" s="4" t="s">
        <v>106</v>
      </c>
      <c r="B97" s="4" t="n">
        <v>1</v>
      </c>
      <c r="C97" s="5" t="n">
        <v>142244.76</v>
      </c>
      <c r="D97" s="5" t="n">
        <v>142683.15</v>
      </c>
      <c r="E97" s="6" t="n">
        <v>0.0167</v>
      </c>
      <c r="F97" s="7" t="n">
        <v>0.4306</v>
      </c>
      <c r="G97" s="8" t="n">
        <f aca="false">MIN(75, MAX(25, F97*100))</f>
        <v>43.06</v>
      </c>
      <c r="H97" s="9" t="n">
        <f aca="false">E97*G97*D97/100</f>
        <v>1026.037385313</v>
      </c>
      <c r="I97" s="9" t="n">
        <f aca="false">E97*G97*D97/100</f>
        <v>1026.037385313</v>
      </c>
      <c r="J97" s="9" t="n">
        <f aca="false">IF(B97=1, H97, I97)</f>
        <v>1026.037385313</v>
      </c>
      <c r="K97" s="5" t="n">
        <v>1026.04</v>
      </c>
      <c r="L97" s="9" t="n">
        <f aca="false">J97-K97</f>
        <v>-0.00261468700023215</v>
      </c>
    </row>
    <row r="98" customFormat="false" ht="15" hidden="false" customHeight="false" outlineLevel="0" collapsed="false">
      <c r="A98" s="4" t="s">
        <v>107</v>
      </c>
      <c r="B98" s="4" t="n">
        <v>3</v>
      </c>
      <c r="C98" s="5" t="n">
        <v>624219.17</v>
      </c>
      <c r="D98" s="5" t="n">
        <v>652646.25</v>
      </c>
      <c r="E98" s="6" t="n">
        <v>1</v>
      </c>
      <c r="F98" s="7" t="n">
        <v>0.4274</v>
      </c>
      <c r="G98" s="8" t="n">
        <f aca="false">MIN(75, MAX(25, F98*100))</f>
        <v>42.74</v>
      </c>
      <c r="H98" s="9" t="n">
        <f aca="false">E98*G98*D98/100</f>
        <v>278941.00725</v>
      </c>
      <c r="I98" s="9" t="n">
        <f aca="false">E98*G98*D98/100</f>
        <v>278941.00725</v>
      </c>
      <c r="J98" s="9" t="n">
        <f aca="false">IF(B98=1, H98, I98)</f>
        <v>278941.00725</v>
      </c>
      <c r="K98" s="5" t="n">
        <v>278941.01</v>
      </c>
      <c r="L98" s="9" t="n">
        <f aca="false">J98-K98</f>
        <v>-0.00274999998509884</v>
      </c>
    </row>
    <row r="99" customFormat="false" ht="15" hidden="false" customHeight="false" outlineLevel="0" collapsed="false">
      <c r="A99" s="4" t="s">
        <v>108</v>
      </c>
      <c r="B99" s="4" t="n">
        <v>2</v>
      </c>
      <c r="C99" s="5" t="n">
        <v>518638.49</v>
      </c>
      <c r="D99" s="5" t="n">
        <v>527234.77</v>
      </c>
      <c r="E99" s="6" t="n">
        <v>0.0868</v>
      </c>
      <c r="F99" s="7" t="n">
        <v>0.6169</v>
      </c>
      <c r="G99" s="8" t="n">
        <f aca="false">MIN(75, MAX(25, F99*100))</f>
        <v>61.69</v>
      </c>
      <c r="H99" s="9" t="n">
        <f aca="false">E99*G99*D99/100</f>
        <v>28231.7980504084</v>
      </c>
      <c r="I99" s="9" t="n">
        <f aca="false">E99*G99*D99/100</f>
        <v>28231.7980504084</v>
      </c>
      <c r="J99" s="9" t="n">
        <f aca="false">IF(B99=1, H99, I99)</f>
        <v>28231.7980504084</v>
      </c>
      <c r="K99" s="5" t="n">
        <v>28231.8</v>
      </c>
      <c r="L99" s="9" t="n">
        <f aca="false">J99-K99</f>
        <v>-0.0019495915985317</v>
      </c>
    </row>
    <row r="100" customFormat="false" ht="15" hidden="false" customHeight="false" outlineLevel="0" collapsed="false">
      <c r="A100" s="4" t="s">
        <v>109</v>
      </c>
      <c r="B100" s="4" t="n">
        <v>2</v>
      </c>
      <c r="C100" s="5" t="n">
        <v>451074.12</v>
      </c>
      <c r="D100" s="5" t="n">
        <v>463899.79</v>
      </c>
      <c r="E100" s="6" t="n">
        <v>0.1402</v>
      </c>
      <c r="F100" s="7" t="n">
        <v>0.5073</v>
      </c>
      <c r="G100" s="8" t="n">
        <f aca="false">MIN(75, MAX(25, F100*100))</f>
        <v>50.73</v>
      </c>
      <c r="H100" s="9" t="n">
        <f aca="false">E100*G100*D100/100</f>
        <v>32994.1581580734</v>
      </c>
      <c r="I100" s="9" t="n">
        <f aca="false">E100*G100*D100/100</f>
        <v>32994.1581580734</v>
      </c>
      <c r="J100" s="9" t="n">
        <f aca="false">IF(B100=1, H100, I100)</f>
        <v>32994.1581580734</v>
      </c>
      <c r="K100" s="5" t="n">
        <v>32994.16</v>
      </c>
      <c r="L100" s="9" t="n">
        <f aca="false">J100-K100</f>
        <v>-0.00184192661254201</v>
      </c>
    </row>
    <row r="101" customFormat="false" ht="15" hidden="false" customHeight="false" outlineLevel="0" collapsed="false">
      <c r="A101" s="4" t="s">
        <v>110</v>
      </c>
      <c r="B101" s="4" t="n">
        <v>1</v>
      </c>
      <c r="C101" s="5" t="n">
        <v>995259.47</v>
      </c>
      <c r="D101" s="5" t="n">
        <v>1028983.6</v>
      </c>
      <c r="E101" s="6" t="n">
        <v>0.0243</v>
      </c>
      <c r="F101" s="7" t="n">
        <v>0.5442</v>
      </c>
      <c r="G101" s="8" t="n">
        <f aca="false">MIN(75, MAX(25, F101*100))</f>
        <v>54.42</v>
      </c>
      <c r="H101" s="9" t="n">
        <f aca="false">E101*G101*D101/100</f>
        <v>13607.340865416</v>
      </c>
      <c r="I101" s="9" t="n">
        <f aca="false">E101*G101*D101/100</f>
        <v>13607.340865416</v>
      </c>
      <c r="J101" s="9" t="n">
        <f aca="false">IF(B101=1, H101, I101)</f>
        <v>13607.340865416</v>
      </c>
      <c r="K101" s="5" t="n">
        <v>13607.34</v>
      </c>
      <c r="L101" s="9" t="n">
        <f aca="false">J101-K101</f>
        <v>0.000865415997395758</v>
      </c>
    </row>
    <row r="102" customFormat="false" ht="15" hidden="false" customHeight="false" outlineLevel="0" collapsed="false">
      <c r="A102" s="4" t="s">
        <v>111</v>
      </c>
      <c r="B102" s="4" t="n">
        <v>1</v>
      </c>
      <c r="C102" s="5" t="n">
        <v>324178.22</v>
      </c>
      <c r="D102" s="5" t="n">
        <v>328760.1</v>
      </c>
      <c r="E102" s="6" t="n">
        <v>0.0207</v>
      </c>
      <c r="F102" s="7" t="n">
        <v>0.5281</v>
      </c>
      <c r="G102" s="8" t="n">
        <f aca="false">MIN(75, MAX(25, F102*100))</f>
        <v>52.81</v>
      </c>
      <c r="H102" s="9" t="n">
        <f aca="false">E102*G102*D102/100</f>
        <v>3593.896922367</v>
      </c>
      <c r="I102" s="9" t="n">
        <f aca="false">E102*G102*D102/100</f>
        <v>3593.896922367</v>
      </c>
      <c r="J102" s="9" t="n">
        <f aca="false">IF(B102=1, H102, I102)</f>
        <v>3593.896922367</v>
      </c>
      <c r="K102" s="5" t="n">
        <v>3593.9</v>
      </c>
      <c r="L102" s="9" t="n">
        <f aca="false">J102-K102</f>
        <v>-0.00307763300043007</v>
      </c>
    </row>
    <row r="103" customFormat="false" ht="15" hidden="false" customHeight="false" outlineLevel="0" collapsed="false">
      <c r="A103" s="4" t="s">
        <v>112</v>
      </c>
      <c r="B103" s="4" t="n">
        <v>1</v>
      </c>
      <c r="C103" s="5" t="n">
        <v>258437.52</v>
      </c>
      <c r="D103" s="5" t="n">
        <v>260778.14</v>
      </c>
      <c r="E103" s="6" t="n">
        <v>0.0241</v>
      </c>
      <c r="F103" s="7" t="n">
        <v>0.6129</v>
      </c>
      <c r="G103" s="8" t="n">
        <f aca="false">MIN(75, MAX(25, F103*100))</f>
        <v>61.29</v>
      </c>
      <c r="H103" s="9" t="n">
        <f aca="false">E103*G103*D103/100</f>
        <v>3851.9252203446</v>
      </c>
      <c r="I103" s="9" t="n">
        <f aca="false">E103*G103*D103/100</f>
        <v>3851.9252203446</v>
      </c>
      <c r="J103" s="9" t="n">
        <f aca="false">IF(B103=1, H103, I103)</f>
        <v>3851.9252203446</v>
      </c>
      <c r="K103" s="5" t="n">
        <v>3851.93</v>
      </c>
      <c r="L103" s="9" t="n">
        <f aca="false">J103-K103</f>
        <v>-0.00477965539994329</v>
      </c>
    </row>
    <row r="104" customFormat="false" ht="15" hidden="false" customHeight="false" outlineLevel="0" collapsed="false">
      <c r="A104" s="4" t="s">
        <v>113</v>
      </c>
      <c r="B104" s="4" t="n">
        <v>1</v>
      </c>
      <c r="C104" s="5" t="n">
        <v>516405.88</v>
      </c>
      <c r="D104" s="5" t="n">
        <v>526971.33</v>
      </c>
      <c r="E104" s="6" t="n">
        <v>0.0156</v>
      </c>
      <c r="F104" s="7" t="n">
        <v>0.4101</v>
      </c>
      <c r="G104" s="8" t="n">
        <f aca="false">MIN(75, MAX(25, F104*100))</f>
        <v>41.01</v>
      </c>
      <c r="H104" s="9" t="n">
        <f aca="false">E104*G104*D104/100</f>
        <v>3371.3307019548</v>
      </c>
      <c r="I104" s="9" t="n">
        <f aca="false">E104*G104*D104/100</f>
        <v>3371.3307019548</v>
      </c>
      <c r="J104" s="9" t="n">
        <f aca="false">IF(B104=1, H104, I104)</f>
        <v>3371.3307019548</v>
      </c>
      <c r="K104" s="5" t="n">
        <v>3371.33</v>
      </c>
      <c r="L104" s="9" t="n">
        <f aca="false">J104-K104</f>
        <v>0.000701954800206295</v>
      </c>
    </row>
    <row r="105" customFormat="false" ht="15" hidden="false" customHeight="false" outlineLevel="0" collapsed="false">
      <c r="A105" s="4" t="s">
        <v>114</v>
      </c>
      <c r="B105" s="4" t="n">
        <v>1</v>
      </c>
      <c r="C105" s="5" t="n">
        <v>354054.11</v>
      </c>
      <c r="D105" s="5" t="n">
        <v>367452.36</v>
      </c>
      <c r="E105" s="6" t="n">
        <v>0.0254</v>
      </c>
      <c r="F105" s="7" t="n">
        <v>0.6176</v>
      </c>
      <c r="G105" s="8" t="n">
        <f aca="false">MIN(75, MAX(25, F105*100))</f>
        <v>61.76</v>
      </c>
      <c r="H105" s="9" t="n">
        <f aca="false">E105*G105*D105/100</f>
        <v>5764.2398694144</v>
      </c>
      <c r="I105" s="9" t="n">
        <f aca="false">E105*G105*D105/100</f>
        <v>5764.2398694144</v>
      </c>
      <c r="J105" s="9" t="n">
        <f aca="false">IF(B105=1, H105, I105)</f>
        <v>5764.2398694144</v>
      </c>
      <c r="K105" s="5" t="n">
        <v>5764.24</v>
      </c>
      <c r="L105" s="9" t="n">
        <f aca="false">J105-K105</f>
        <v>-0.000130585599436017</v>
      </c>
    </row>
    <row r="106" customFormat="false" ht="15" hidden="false" customHeight="false" outlineLevel="0" collapsed="false">
      <c r="A106" s="4" t="s">
        <v>115</v>
      </c>
      <c r="B106" s="4" t="n">
        <v>3</v>
      </c>
      <c r="C106" s="5" t="n">
        <v>228124.46</v>
      </c>
      <c r="D106" s="5" t="n">
        <v>234223.75</v>
      </c>
      <c r="E106" s="6" t="n">
        <v>1</v>
      </c>
      <c r="F106" s="7" t="n">
        <v>0.4267</v>
      </c>
      <c r="G106" s="8" t="n">
        <f aca="false">MIN(75, MAX(25, F106*100))</f>
        <v>42.67</v>
      </c>
      <c r="H106" s="9" t="n">
        <f aca="false">E106*G106*D106/100</f>
        <v>99943.274125</v>
      </c>
      <c r="I106" s="9" t="n">
        <f aca="false">E106*G106*D106/100</f>
        <v>99943.274125</v>
      </c>
      <c r="J106" s="9" t="n">
        <f aca="false">IF(B106=1, H106, I106)</f>
        <v>99943.274125</v>
      </c>
      <c r="K106" s="5" t="n">
        <v>99943.27</v>
      </c>
      <c r="L106" s="9" t="n">
        <f aca="false">J106-K106</f>
        <v>0.00412499999220017</v>
      </c>
    </row>
    <row r="107" customFormat="false" ht="15" hidden="false" customHeight="false" outlineLevel="0" collapsed="false">
      <c r="A107" s="4" t="s">
        <v>116</v>
      </c>
      <c r="B107" s="4" t="n">
        <v>1</v>
      </c>
      <c r="C107" s="5" t="n">
        <v>834116.81</v>
      </c>
      <c r="D107" s="5" t="n">
        <v>840805.33</v>
      </c>
      <c r="E107" s="6" t="n">
        <v>0.0183</v>
      </c>
      <c r="F107" s="7" t="n">
        <v>0.4729</v>
      </c>
      <c r="G107" s="8" t="n">
        <f aca="false">MIN(75, MAX(25, F107*100))</f>
        <v>47.29</v>
      </c>
      <c r="H107" s="9" t="n">
        <f aca="false">E107*G107*D107/100</f>
        <v>7276.3881821931</v>
      </c>
      <c r="I107" s="9" t="n">
        <f aca="false">E107*G107*D107/100</f>
        <v>7276.3881821931</v>
      </c>
      <c r="J107" s="9" t="n">
        <f aca="false">IF(B107=1, H107, I107)</f>
        <v>7276.3881821931</v>
      </c>
      <c r="K107" s="5" t="n">
        <v>7276.39</v>
      </c>
      <c r="L107" s="9" t="n">
        <f aca="false">J107-K107</f>
        <v>-0.00181780690036248</v>
      </c>
    </row>
    <row r="108" customFormat="false" ht="15" hidden="false" customHeight="false" outlineLevel="0" collapsed="false">
      <c r="A108" s="4" t="s">
        <v>117</v>
      </c>
      <c r="B108" s="4" t="n">
        <v>1</v>
      </c>
      <c r="C108" s="5" t="n">
        <v>0</v>
      </c>
      <c r="D108" s="5" t="n">
        <v>0</v>
      </c>
      <c r="E108" s="6" t="n">
        <v>0.0151</v>
      </c>
      <c r="F108" s="7" t="n">
        <v>0.5775</v>
      </c>
      <c r="G108" s="8" t="n">
        <f aca="false">MIN(75, MAX(25, F108*100))</f>
        <v>57.75</v>
      </c>
      <c r="H108" s="9" t="n">
        <f aca="false">E108*G108*D108/100</f>
        <v>0</v>
      </c>
      <c r="I108" s="9" t="n">
        <f aca="false">E108*G108*D108/100</f>
        <v>0</v>
      </c>
      <c r="J108" s="9" t="n">
        <f aca="false">IF(B108=1, H108, I108)</f>
        <v>0</v>
      </c>
      <c r="K108" s="5" t="n">
        <v>0</v>
      </c>
      <c r="L108" s="9" t="n">
        <f aca="false">J108-K108</f>
        <v>0</v>
      </c>
    </row>
    <row r="109" customFormat="false" ht="15" hidden="false" customHeight="false" outlineLevel="0" collapsed="false">
      <c r="A109" s="4" t="s">
        <v>118</v>
      </c>
      <c r="B109" s="4" t="n">
        <v>3</v>
      </c>
      <c r="C109" s="5" t="n">
        <v>336267.79</v>
      </c>
      <c r="D109" s="5" t="n">
        <v>348495.81</v>
      </c>
      <c r="E109" s="6" t="n">
        <v>1</v>
      </c>
      <c r="F109" s="7" t="n">
        <v>0.614</v>
      </c>
      <c r="G109" s="8" t="n">
        <f aca="false">MIN(75, MAX(25, F109*100))</f>
        <v>61.4</v>
      </c>
      <c r="H109" s="9" t="n">
        <f aca="false">E109*G109*D109/100</f>
        <v>213976.42734</v>
      </c>
      <c r="I109" s="9" t="n">
        <f aca="false">E109*G109*D109/100</f>
        <v>213976.42734</v>
      </c>
      <c r="J109" s="9" t="n">
        <f aca="false">IF(B109=1, H109, I109)</f>
        <v>213976.42734</v>
      </c>
      <c r="K109" s="5" t="n">
        <v>213976.43</v>
      </c>
      <c r="L109" s="9" t="n">
        <f aca="false">J109-K109</f>
        <v>-0.00265999996918254</v>
      </c>
    </row>
    <row r="110" customFormat="false" ht="15" hidden="false" customHeight="false" outlineLevel="0" collapsed="false">
      <c r="A110" s="4" t="s">
        <v>119</v>
      </c>
      <c r="B110" s="4" t="n">
        <v>1</v>
      </c>
      <c r="C110" s="5" t="n">
        <v>661219.65</v>
      </c>
      <c r="D110" s="5" t="n">
        <v>672159.36</v>
      </c>
      <c r="E110" s="6" t="n">
        <v>0.023</v>
      </c>
      <c r="F110" s="7" t="n">
        <v>0.4462</v>
      </c>
      <c r="G110" s="8" t="n">
        <f aca="false">MIN(75, MAX(25, F110*100))</f>
        <v>44.62</v>
      </c>
      <c r="H110" s="9" t="n">
        <f aca="false">E110*G110*D110/100</f>
        <v>6898.102647936</v>
      </c>
      <c r="I110" s="9" t="n">
        <f aca="false">E110*G110*D110/100</f>
        <v>6898.102647936</v>
      </c>
      <c r="J110" s="9" t="n">
        <f aca="false">IF(B110=1, H110, I110)</f>
        <v>6898.102647936</v>
      </c>
      <c r="K110" s="5" t="n">
        <v>6898.1</v>
      </c>
      <c r="L110" s="9" t="n">
        <f aca="false">J110-K110</f>
        <v>0.00264793599944824</v>
      </c>
    </row>
    <row r="111" customFormat="false" ht="15" hidden="false" customHeight="false" outlineLevel="0" collapsed="false">
      <c r="A111" s="4" t="s">
        <v>120</v>
      </c>
      <c r="B111" s="4" t="n">
        <v>3</v>
      </c>
      <c r="C111" s="5" t="n">
        <v>261161.92</v>
      </c>
      <c r="D111" s="5" t="n">
        <v>267340.15</v>
      </c>
      <c r="E111" s="6" t="n">
        <v>0.8807</v>
      </c>
      <c r="F111" s="7" t="n">
        <v>0.5359</v>
      </c>
      <c r="G111" s="8" t="n">
        <f aca="false">MIN(75, MAX(25, F111*100))</f>
        <v>53.59</v>
      </c>
      <c r="H111" s="9" t="n">
        <f aca="false">E111*G111*D111/100</f>
        <v>126175.76332927</v>
      </c>
      <c r="I111" s="9" t="n">
        <f aca="false">E111*G111*D111/100</f>
        <v>126175.76332927</v>
      </c>
      <c r="J111" s="9" t="n">
        <f aca="false">IF(B111=1, H111, I111)</f>
        <v>126175.76332927</v>
      </c>
      <c r="K111" s="5" t="n">
        <v>126175.76</v>
      </c>
      <c r="L111" s="9" t="n">
        <f aca="false">J111-K111</f>
        <v>0.00332926951523405</v>
      </c>
    </row>
    <row r="112" customFormat="false" ht="15" hidden="false" customHeight="false" outlineLevel="0" collapsed="false">
      <c r="A112" s="4" t="s">
        <v>121</v>
      </c>
      <c r="B112" s="4" t="n">
        <v>1</v>
      </c>
      <c r="C112" s="5" t="n">
        <v>140079.88</v>
      </c>
      <c r="D112" s="5" t="n">
        <v>141022.87</v>
      </c>
      <c r="E112" s="6" t="n">
        <v>0.0219</v>
      </c>
      <c r="F112" s="7" t="n">
        <v>0.6369</v>
      </c>
      <c r="G112" s="8" t="n">
        <f aca="false">MIN(75, MAX(25, F112*100))</f>
        <v>63.69</v>
      </c>
      <c r="H112" s="9" t="n">
        <f aca="false">E112*G112*D112/100</f>
        <v>1967.0025032757</v>
      </c>
      <c r="I112" s="9" t="n">
        <f aca="false">E112*G112*D112/100</f>
        <v>1967.0025032757</v>
      </c>
      <c r="J112" s="9" t="n">
        <f aca="false">IF(B112=1, H112, I112)</f>
        <v>1967.0025032757</v>
      </c>
      <c r="K112" s="5" t="n">
        <v>1967</v>
      </c>
      <c r="L112" s="9" t="n">
        <f aca="false">J112-K112</f>
        <v>0.0025032756998371</v>
      </c>
    </row>
    <row r="113" customFormat="false" ht="15" hidden="false" customHeight="false" outlineLevel="0" collapsed="false">
      <c r="A113" s="4" t="s">
        <v>122</v>
      </c>
      <c r="B113" s="4" t="n">
        <v>3</v>
      </c>
      <c r="C113" s="5" t="n">
        <v>849928</v>
      </c>
      <c r="D113" s="5" t="n">
        <v>862276.58</v>
      </c>
      <c r="E113" s="6" t="n">
        <v>0.6975</v>
      </c>
      <c r="F113" s="7" t="n">
        <v>0.5373</v>
      </c>
      <c r="G113" s="8" t="n">
        <f aca="false">MIN(75, MAX(25, F113*100))</f>
        <v>53.73</v>
      </c>
      <c r="H113" s="9" t="n">
        <f aca="false">E113*G113*D113/100</f>
        <v>323152.591487715</v>
      </c>
      <c r="I113" s="9" t="n">
        <f aca="false">E113*G113*D113/100</f>
        <v>323152.591487715</v>
      </c>
      <c r="J113" s="9" t="n">
        <f aca="false">IF(B113=1, H113, I113)</f>
        <v>323152.591487715</v>
      </c>
      <c r="K113" s="5" t="n">
        <v>323152.59</v>
      </c>
      <c r="L113" s="9" t="n">
        <f aca="false">J113-K113</f>
        <v>0.00148771493695676</v>
      </c>
    </row>
    <row r="114" customFormat="false" ht="15" hidden="false" customHeight="false" outlineLevel="0" collapsed="false">
      <c r="A114" s="4" t="s">
        <v>123</v>
      </c>
      <c r="B114" s="4" t="n">
        <v>1</v>
      </c>
      <c r="C114" s="5" t="n">
        <v>973254.46</v>
      </c>
      <c r="D114" s="5" t="n">
        <v>1009926.39</v>
      </c>
      <c r="E114" s="6" t="n">
        <v>0.0223</v>
      </c>
      <c r="F114" s="7" t="n">
        <v>0.4385</v>
      </c>
      <c r="G114" s="8" t="n">
        <f aca="false">MIN(75, MAX(25, F114*100))</f>
        <v>43.85</v>
      </c>
      <c r="H114" s="9" t="n">
        <f aca="false">E114*G114*D114/100</f>
        <v>9875.6157009345</v>
      </c>
      <c r="I114" s="9" t="n">
        <f aca="false">E114*G114*D114/100</f>
        <v>9875.6157009345</v>
      </c>
      <c r="J114" s="9" t="n">
        <f aca="false">IF(B114=1, H114, I114)</f>
        <v>9875.6157009345</v>
      </c>
      <c r="K114" s="5" t="n">
        <v>9875.62</v>
      </c>
      <c r="L114" s="9" t="n">
        <f aca="false">J114-K114</f>
        <v>-0.00429906550016312</v>
      </c>
    </row>
    <row r="115" customFormat="false" ht="15" hidden="false" customHeight="false" outlineLevel="0" collapsed="false">
      <c r="A115" s="4" t="s">
        <v>124</v>
      </c>
      <c r="B115" s="4" t="n">
        <v>1</v>
      </c>
      <c r="C115" s="5" t="n">
        <v>1527227.97</v>
      </c>
      <c r="D115" s="5" t="n">
        <v>1566466.03</v>
      </c>
      <c r="E115" s="6" t="n">
        <v>0.0162</v>
      </c>
      <c r="F115" s="7" t="n">
        <v>0.4021</v>
      </c>
      <c r="G115" s="8" t="n">
        <f aca="false">MIN(75, MAX(25, F115*100))</f>
        <v>40.21</v>
      </c>
      <c r="H115" s="9" t="n">
        <f aca="false">E115*G115*D115/100</f>
        <v>10203.9910487406</v>
      </c>
      <c r="I115" s="9" t="n">
        <f aca="false">E115*G115*D115/100</f>
        <v>10203.9910487406</v>
      </c>
      <c r="J115" s="9" t="n">
        <f aca="false">IF(B115=1, H115, I115)</f>
        <v>10203.9910487406</v>
      </c>
      <c r="K115" s="5" t="n">
        <v>10203.99</v>
      </c>
      <c r="L115" s="9" t="n">
        <f aca="false">J115-K115</f>
        <v>0.0010487405997992</v>
      </c>
    </row>
    <row r="116" customFormat="false" ht="15" hidden="false" customHeight="false" outlineLevel="0" collapsed="false">
      <c r="A116" s="4" t="s">
        <v>125</v>
      </c>
      <c r="B116" s="4" t="n">
        <v>1</v>
      </c>
      <c r="C116" s="5" t="n">
        <v>420656.93</v>
      </c>
      <c r="D116" s="5" t="n">
        <v>434608.74</v>
      </c>
      <c r="E116" s="6" t="n">
        <v>0.0182</v>
      </c>
      <c r="F116" s="7" t="n">
        <v>0.615</v>
      </c>
      <c r="G116" s="8" t="n">
        <f aca="false">MIN(75, MAX(25, F116*100))</f>
        <v>61.5</v>
      </c>
      <c r="H116" s="9" t="n">
        <f aca="false">E116*G116*D116/100</f>
        <v>4864.57562682</v>
      </c>
      <c r="I116" s="9" t="n">
        <f aca="false">E116*G116*D116/100</f>
        <v>4864.57562682</v>
      </c>
      <c r="J116" s="9" t="n">
        <f aca="false">IF(B116=1, H116, I116)</f>
        <v>4864.57562682</v>
      </c>
      <c r="K116" s="5" t="n">
        <v>4864.58</v>
      </c>
      <c r="L116" s="9" t="n">
        <f aca="false">J116-K116</f>
        <v>-0.0043731799996749</v>
      </c>
    </row>
    <row r="117" customFormat="false" ht="15" hidden="false" customHeight="false" outlineLevel="0" collapsed="false">
      <c r="A117" s="4" t="s">
        <v>126</v>
      </c>
      <c r="B117" s="4" t="n">
        <v>1</v>
      </c>
      <c r="C117" s="5" t="n">
        <v>1056959.1</v>
      </c>
      <c r="D117" s="5" t="n">
        <v>1085137.94</v>
      </c>
      <c r="E117" s="6" t="n">
        <v>0.0257</v>
      </c>
      <c r="F117" s="7" t="n">
        <v>0.582</v>
      </c>
      <c r="G117" s="8" t="n">
        <f aca="false">MIN(75, MAX(25, F117*100))</f>
        <v>58.2</v>
      </c>
      <c r="H117" s="9" t="n">
        <f aca="false">E117*G117*D117/100</f>
        <v>16230.842223756</v>
      </c>
      <c r="I117" s="9" t="n">
        <f aca="false">E117*G117*D117/100</f>
        <v>16230.842223756</v>
      </c>
      <c r="J117" s="9" t="n">
        <f aca="false">IF(B117=1, H117, I117)</f>
        <v>16230.842223756</v>
      </c>
      <c r="K117" s="5" t="n">
        <v>16230.84</v>
      </c>
      <c r="L117" s="9" t="n">
        <f aca="false">J117-K117</f>
        <v>0.00222375599696534</v>
      </c>
    </row>
    <row r="118" customFormat="false" ht="15" hidden="false" customHeight="false" outlineLevel="0" collapsed="false">
      <c r="A118" s="4" t="s">
        <v>127</v>
      </c>
      <c r="B118" s="4" t="n">
        <v>2</v>
      </c>
      <c r="C118" s="5" t="n">
        <v>324033.23</v>
      </c>
      <c r="D118" s="5" t="n">
        <v>335388.68</v>
      </c>
      <c r="E118" s="6" t="n">
        <v>0.1384</v>
      </c>
      <c r="F118" s="7" t="n">
        <v>0.5257</v>
      </c>
      <c r="G118" s="8" t="n">
        <f aca="false">MIN(75, MAX(25, F118*100))</f>
        <v>52.57</v>
      </c>
      <c r="H118" s="9" t="n">
        <f aca="false">E118*G118*D118/100</f>
        <v>24401.8339441184</v>
      </c>
      <c r="I118" s="9" t="n">
        <f aca="false">E118*G118*D118/100</f>
        <v>24401.8339441184</v>
      </c>
      <c r="J118" s="9" t="n">
        <f aca="false">IF(B118=1, H118, I118)</f>
        <v>24401.8339441184</v>
      </c>
      <c r="K118" s="5" t="n">
        <v>24401.83</v>
      </c>
      <c r="L118" s="9" t="n">
        <f aca="false">J118-K118</f>
        <v>0.0039441183944291</v>
      </c>
    </row>
    <row r="119" customFormat="false" ht="15" hidden="false" customHeight="false" outlineLevel="0" collapsed="false">
      <c r="A119" s="4" t="s">
        <v>128</v>
      </c>
      <c r="B119" s="4" t="n">
        <v>2</v>
      </c>
      <c r="C119" s="5" t="n">
        <v>264232.95</v>
      </c>
      <c r="D119" s="5" t="n">
        <v>275482.12</v>
      </c>
      <c r="E119" s="6" t="n">
        <v>0.0992</v>
      </c>
      <c r="F119" s="7" t="n">
        <v>0.6217</v>
      </c>
      <c r="G119" s="8" t="n">
        <f aca="false">MIN(75, MAX(25, F119*100))</f>
        <v>62.17</v>
      </c>
      <c r="H119" s="9" t="n">
        <f aca="false">E119*G119*D119/100</f>
        <v>16989.7096131968</v>
      </c>
      <c r="I119" s="9" t="n">
        <f aca="false">E119*G119*D119/100</f>
        <v>16989.7096131968</v>
      </c>
      <c r="J119" s="9" t="n">
        <f aca="false">IF(B119=1, H119, I119)</f>
        <v>16989.7096131968</v>
      </c>
      <c r="K119" s="5" t="n">
        <v>16989.71</v>
      </c>
      <c r="L119" s="9" t="n">
        <f aca="false">J119-K119</f>
        <v>-0.000386803199944552</v>
      </c>
    </row>
    <row r="120" customFormat="false" ht="15" hidden="false" customHeight="false" outlineLevel="0" collapsed="false">
      <c r="A120" s="4" t="s">
        <v>129</v>
      </c>
      <c r="B120" s="4" t="n">
        <v>1</v>
      </c>
      <c r="C120" s="5" t="n">
        <v>296036.32</v>
      </c>
      <c r="D120" s="5" t="n">
        <v>298532.49</v>
      </c>
      <c r="E120" s="6" t="n">
        <v>0.0237</v>
      </c>
      <c r="F120" s="7" t="n">
        <v>0.6376</v>
      </c>
      <c r="G120" s="8" t="n">
        <f aca="false">MIN(75, MAX(25, F120*100))</f>
        <v>63.76</v>
      </c>
      <c r="H120" s="9" t="n">
        <f aca="false">E120*G120*D120/100</f>
        <v>4511.1602802888</v>
      </c>
      <c r="I120" s="9" t="n">
        <f aca="false">E120*G120*D120/100</f>
        <v>4511.1602802888</v>
      </c>
      <c r="J120" s="9" t="n">
        <f aca="false">IF(B120=1, H120, I120)</f>
        <v>4511.1602802888</v>
      </c>
      <c r="K120" s="5" t="n">
        <v>4511.16</v>
      </c>
      <c r="L120" s="9" t="n">
        <f aca="false">J120-K120</f>
        <v>0.000280288799331174</v>
      </c>
    </row>
    <row r="121" customFormat="false" ht="15" hidden="false" customHeight="false" outlineLevel="0" collapsed="false">
      <c r="A121" s="4" t="s">
        <v>130</v>
      </c>
      <c r="B121" s="4" t="n">
        <v>1</v>
      </c>
      <c r="C121" s="5" t="n">
        <v>885912.07</v>
      </c>
      <c r="D121" s="5" t="n">
        <v>887535.78</v>
      </c>
      <c r="E121" s="6" t="n">
        <v>0.0232</v>
      </c>
      <c r="F121" s="7" t="n">
        <v>0.4138</v>
      </c>
      <c r="G121" s="8" t="n">
        <f aca="false">MIN(75, MAX(25, F121*100))</f>
        <v>41.38</v>
      </c>
      <c r="H121" s="9" t="n">
        <f aca="false">E121*G121*D121/100</f>
        <v>8520.4854937248</v>
      </c>
      <c r="I121" s="9" t="n">
        <f aca="false">E121*G121*D121/100</f>
        <v>8520.4854937248</v>
      </c>
      <c r="J121" s="9" t="n">
        <f aca="false">IF(B121=1, H121, I121)</f>
        <v>8520.4854937248</v>
      </c>
      <c r="K121" s="5" t="n">
        <v>8520.49</v>
      </c>
      <c r="L121" s="9" t="n">
        <f aca="false">J121-K121</f>
        <v>-0.00450627519967384</v>
      </c>
    </row>
    <row r="122" customFormat="false" ht="15" hidden="false" customHeight="false" outlineLevel="0" collapsed="false">
      <c r="A122" s="4" t="s">
        <v>131</v>
      </c>
      <c r="B122" s="4" t="n">
        <v>1</v>
      </c>
      <c r="C122" s="5" t="n">
        <v>191566.79</v>
      </c>
      <c r="D122" s="5" t="n">
        <v>200010.59</v>
      </c>
      <c r="E122" s="6" t="n">
        <v>0.0187</v>
      </c>
      <c r="F122" s="7" t="n">
        <v>0.6254</v>
      </c>
      <c r="G122" s="8" t="n">
        <f aca="false">MIN(75, MAX(25, F122*100))</f>
        <v>62.54</v>
      </c>
      <c r="H122" s="9" t="n">
        <f aca="false">E122*G122*D122/100</f>
        <v>2339.1198498382</v>
      </c>
      <c r="I122" s="9" t="n">
        <f aca="false">E122*G122*D122/100</f>
        <v>2339.1198498382</v>
      </c>
      <c r="J122" s="9" t="n">
        <f aca="false">IF(B122=1, H122, I122)</f>
        <v>2339.1198498382</v>
      </c>
      <c r="K122" s="5" t="n">
        <v>2339.12</v>
      </c>
      <c r="L122" s="9" t="n">
        <f aca="false">J122-K122</f>
        <v>-0.000150161800320348</v>
      </c>
    </row>
    <row r="123" customFormat="false" ht="15" hidden="false" customHeight="false" outlineLevel="0" collapsed="false">
      <c r="A123" s="4" t="s">
        <v>132</v>
      </c>
      <c r="B123" s="4" t="n">
        <v>1</v>
      </c>
      <c r="C123" s="5" t="n">
        <v>314565.55</v>
      </c>
      <c r="D123" s="5" t="n">
        <v>327414.85</v>
      </c>
      <c r="E123" s="6" t="n">
        <v>0.0159</v>
      </c>
      <c r="F123" s="7" t="n">
        <v>0.5306</v>
      </c>
      <c r="G123" s="8" t="n">
        <f aca="false">MIN(75, MAX(25, F123*100))</f>
        <v>53.06</v>
      </c>
      <c r="H123" s="9" t="n">
        <f aca="false">E123*G123*D123/100</f>
        <v>2762.248478619</v>
      </c>
      <c r="I123" s="9" t="n">
        <f aca="false">E123*G123*D123/100</f>
        <v>2762.248478619</v>
      </c>
      <c r="J123" s="9" t="n">
        <f aca="false">IF(B123=1, H123, I123)</f>
        <v>2762.248478619</v>
      </c>
      <c r="K123" s="5" t="n">
        <v>2762.25</v>
      </c>
      <c r="L123" s="9" t="n">
        <f aca="false">J123-K123</f>
        <v>-0.00152138100020238</v>
      </c>
    </row>
    <row r="124" customFormat="false" ht="15" hidden="false" customHeight="false" outlineLevel="0" collapsed="false">
      <c r="A124" s="4" t="s">
        <v>133</v>
      </c>
      <c r="B124" s="4" t="n">
        <v>1</v>
      </c>
      <c r="C124" s="5" t="n">
        <v>411920.43</v>
      </c>
      <c r="D124" s="5" t="n">
        <v>429022.62</v>
      </c>
      <c r="E124" s="6" t="n">
        <v>0.0244</v>
      </c>
      <c r="F124" s="7" t="n">
        <v>0.4012</v>
      </c>
      <c r="G124" s="8" t="n">
        <f aca="false">MIN(75, MAX(25, F124*100))</f>
        <v>40.12</v>
      </c>
      <c r="H124" s="9" t="n">
        <f aca="false">E124*G124*D124/100</f>
        <v>4199.8225535136</v>
      </c>
      <c r="I124" s="9" t="n">
        <f aca="false">E124*G124*D124/100</f>
        <v>4199.8225535136</v>
      </c>
      <c r="J124" s="9" t="n">
        <f aca="false">IF(B124=1, H124, I124)</f>
        <v>4199.8225535136</v>
      </c>
      <c r="K124" s="5" t="n">
        <v>4199.82</v>
      </c>
      <c r="L124" s="9" t="n">
        <f aca="false">J124-K124</f>
        <v>0.00255351360010536</v>
      </c>
    </row>
    <row r="125" customFormat="false" ht="15" hidden="false" customHeight="false" outlineLevel="0" collapsed="false">
      <c r="A125" s="4" t="s">
        <v>134</v>
      </c>
      <c r="B125" s="4" t="n">
        <v>1</v>
      </c>
      <c r="C125" s="5" t="n">
        <v>1769903.7</v>
      </c>
      <c r="D125" s="5" t="n">
        <v>1817627.91</v>
      </c>
      <c r="E125" s="6" t="n">
        <v>0.0219</v>
      </c>
      <c r="F125" s="7" t="n">
        <v>0.6206</v>
      </c>
      <c r="G125" s="8" t="n">
        <f aca="false">MIN(75, MAX(25, F125*100))</f>
        <v>62.06</v>
      </c>
      <c r="H125" s="9" t="n">
        <f aca="false">E125*G125*D125/100</f>
        <v>24703.6353927174</v>
      </c>
      <c r="I125" s="9" t="n">
        <f aca="false">E125*G125*D125/100</f>
        <v>24703.6353927174</v>
      </c>
      <c r="J125" s="9" t="n">
        <f aca="false">IF(B125=1, H125, I125)</f>
        <v>24703.6353927174</v>
      </c>
      <c r="K125" s="5" t="n">
        <v>24703.64</v>
      </c>
      <c r="L125" s="9" t="n">
        <f aca="false">J125-K125</f>
        <v>-0.00460728260077303</v>
      </c>
    </row>
    <row r="126" customFormat="false" ht="15" hidden="false" customHeight="false" outlineLevel="0" collapsed="false">
      <c r="A126" s="4" t="s">
        <v>135</v>
      </c>
      <c r="B126" s="4" t="n">
        <v>1</v>
      </c>
      <c r="C126" s="5" t="n">
        <v>1962937.18</v>
      </c>
      <c r="D126" s="5" t="n">
        <v>2041875.44</v>
      </c>
      <c r="E126" s="6" t="n">
        <v>0.0185</v>
      </c>
      <c r="F126" s="7" t="n">
        <v>0.4116</v>
      </c>
      <c r="G126" s="8" t="n">
        <f aca="false">MIN(75, MAX(25, F126*100))</f>
        <v>41.16</v>
      </c>
      <c r="H126" s="9" t="n">
        <f aca="false">E126*G126*D126/100</f>
        <v>15548.064725424</v>
      </c>
      <c r="I126" s="9" t="n">
        <f aca="false">E126*G126*D126/100</f>
        <v>15548.064725424</v>
      </c>
      <c r="J126" s="9" t="n">
        <f aca="false">IF(B126=1, H126, I126)</f>
        <v>15548.064725424</v>
      </c>
      <c r="K126" s="5" t="n">
        <v>15548.06</v>
      </c>
      <c r="L126" s="9" t="n">
        <f aca="false">J126-K126</f>
        <v>0.00472542399984377</v>
      </c>
    </row>
    <row r="127" customFormat="false" ht="15" hidden="false" customHeight="false" outlineLevel="0" collapsed="false">
      <c r="A127" s="4" t="s">
        <v>136</v>
      </c>
      <c r="B127" s="4" t="n">
        <v>1</v>
      </c>
      <c r="C127" s="5" t="n">
        <v>2125305.79</v>
      </c>
      <c r="D127" s="5" t="n">
        <v>2161269.99</v>
      </c>
      <c r="E127" s="6" t="n">
        <v>0.0166</v>
      </c>
      <c r="F127" s="7" t="n">
        <v>0.4702</v>
      </c>
      <c r="G127" s="8" t="n">
        <f aca="false">MIN(75, MAX(25, F127*100))</f>
        <v>47.02</v>
      </c>
      <c r="H127" s="9" t="n">
        <f aca="false">E127*G127*D127/100</f>
        <v>16869.4038783468</v>
      </c>
      <c r="I127" s="9" t="n">
        <f aca="false">E127*G127*D127/100</f>
        <v>16869.4038783468</v>
      </c>
      <c r="J127" s="9" t="n">
        <f aca="false">IF(B127=1, H127, I127)</f>
        <v>16869.4038783468</v>
      </c>
      <c r="K127" s="5" t="n">
        <v>16869.4</v>
      </c>
      <c r="L127" s="9" t="n">
        <f aca="false">J127-K127</f>
        <v>0.00387834680441301</v>
      </c>
    </row>
    <row r="128" customFormat="false" ht="15" hidden="false" customHeight="false" outlineLevel="0" collapsed="false">
      <c r="A128" s="4" t="s">
        <v>137</v>
      </c>
      <c r="B128" s="4" t="n">
        <v>3</v>
      </c>
      <c r="C128" s="5" t="n">
        <v>45465.99</v>
      </c>
      <c r="D128" s="5" t="n">
        <v>46283.79</v>
      </c>
      <c r="E128" s="6" t="n">
        <v>0.9087</v>
      </c>
      <c r="F128" s="7" t="n">
        <v>0.5522</v>
      </c>
      <c r="G128" s="8" t="n">
        <f aca="false">MIN(75, MAX(25, F128*100))</f>
        <v>55.22</v>
      </c>
      <c r="H128" s="9" t="n">
        <f aca="false">E128*G128*D128/100</f>
        <v>23224.4717610906</v>
      </c>
      <c r="I128" s="9" t="n">
        <f aca="false">E128*G128*D128/100</f>
        <v>23224.4717610906</v>
      </c>
      <c r="J128" s="9" t="n">
        <f aca="false">IF(B128=1, H128, I128)</f>
        <v>23224.4717610906</v>
      </c>
      <c r="K128" s="5" t="n">
        <v>23224.47</v>
      </c>
      <c r="L128" s="9" t="n">
        <f aca="false">J128-K128</f>
        <v>0.00176109059611917</v>
      </c>
    </row>
    <row r="129" customFormat="false" ht="15" hidden="false" customHeight="false" outlineLevel="0" collapsed="false">
      <c r="A129" s="4" t="s">
        <v>138</v>
      </c>
      <c r="B129" s="4" t="n">
        <v>2</v>
      </c>
      <c r="C129" s="5" t="n">
        <v>238082.89</v>
      </c>
      <c r="D129" s="5" t="n">
        <v>244926.51</v>
      </c>
      <c r="E129" s="6" t="n">
        <v>0.1471</v>
      </c>
      <c r="F129" s="7" t="n">
        <v>0.5939</v>
      </c>
      <c r="G129" s="8" t="n">
        <f aca="false">MIN(75, MAX(25, F129*100))</f>
        <v>59.39</v>
      </c>
      <c r="H129" s="9" t="n">
        <f aca="false">E129*G129*D129/100</f>
        <v>21397.4387659119</v>
      </c>
      <c r="I129" s="9" t="n">
        <f aca="false">E129*G129*D129/100</f>
        <v>21397.4387659119</v>
      </c>
      <c r="J129" s="9" t="n">
        <f aca="false">IF(B129=1, H129, I129)</f>
        <v>21397.4387659119</v>
      </c>
      <c r="K129" s="5" t="n">
        <v>21397.44</v>
      </c>
      <c r="L129" s="9" t="n">
        <f aca="false">J129-K129</f>
        <v>-0.00123408809668035</v>
      </c>
    </row>
    <row r="130" customFormat="false" ht="15" hidden="false" customHeight="false" outlineLevel="0" collapsed="false">
      <c r="A130" s="4" t="s">
        <v>139</v>
      </c>
      <c r="B130" s="4" t="n">
        <v>1</v>
      </c>
      <c r="C130" s="5" t="n">
        <v>446318.04</v>
      </c>
      <c r="D130" s="5" t="n">
        <v>467077.53</v>
      </c>
      <c r="E130" s="6" t="n">
        <v>0.0162</v>
      </c>
      <c r="F130" s="7" t="n">
        <v>0.5738</v>
      </c>
      <c r="G130" s="8" t="n">
        <f aca="false">MIN(75, MAX(25, F130*100))</f>
        <v>57.38</v>
      </c>
      <c r="H130" s="9" t="n">
        <f aca="false">E130*G130*D130/100</f>
        <v>4341.7472047668</v>
      </c>
      <c r="I130" s="9" t="n">
        <f aca="false">E130*G130*D130/100</f>
        <v>4341.7472047668</v>
      </c>
      <c r="J130" s="9" t="n">
        <f aca="false">IF(B130=1, H130, I130)</f>
        <v>4341.7472047668</v>
      </c>
      <c r="K130" s="5" t="n">
        <v>4341.75</v>
      </c>
      <c r="L130" s="9" t="n">
        <f aca="false">J130-K130</f>
        <v>-0.00279523320023145</v>
      </c>
    </row>
    <row r="131" customFormat="false" ht="15" hidden="false" customHeight="false" outlineLevel="0" collapsed="false">
      <c r="A131" s="4" t="s">
        <v>140</v>
      </c>
      <c r="B131" s="4" t="n">
        <v>1</v>
      </c>
      <c r="C131" s="5" t="n">
        <v>106023.02</v>
      </c>
      <c r="D131" s="5" t="n">
        <v>106702.87</v>
      </c>
      <c r="E131" s="6" t="n">
        <v>0.0188</v>
      </c>
      <c r="F131" s="7" t="n">
        <v>0.5751</v>
      </c>
      <c r="G131" s="8" t="n">
        <f aca="false">MIN(75, MAX(25, F131*100))</f>
        <v>57.51</v>
      </c>
      <c r="H131" s="9" t="n">
        <f aca="false">E131*G131*D131/100</f>
        <v>1153.6586260956</v>
      </c>
      <c r="I131" s="9" t="n">
        <f aca="false">E131*G131*D131/100</f>
        <v>1153.6586260956</v>
      </c>
      <c r="J131" s="9" t="n">
        <f aca="false">IF(B131=1, H131, I131)</f>
        <v>1153.6586260956</v>
      </c>
      <c r="K131" s="5" t="n">
        <v>1153.66</v>
      </c>
      <c r="L131" s="9" t="n">
        <f aca="false">J131-K131</f>
        <v>-0.001373904400225</v>
      </c>
    </row>
    <row r="132" customFormat="false" ht="15" hidden="false" customHeight="false" outlineLevel="0" collapsed="false">
      <c r="A132" s="4" t="s">
        <v>141</v>
      </c>
      <c r="B132" s="4" t="n">
        <v>1</v>
      </c>
      <c r="C132" s="5" t="n">
        <v>265866.78</v>
      </c>
      <c r="D132" s="5" t="n">
        <v>273522.32</v>
      </c>
      <c r="E132" s="6" t="n">
        <v>0.0162</v>
      </c>
      <c r="F132" s="7" t="n">
        <v>0.3893</v>
      </c>
      <c r="G132" s="8" t="n">
        <f aca="false">MIN(75, MAX(25, F132*100))</f>
        <v>38.93</v>
      </c>
      <c r="H132" s="9" t="n">
        <f aca="false">E132*G132*D132/100</f>
        <v>1725.0122746512</v>
      </c>
      <c r="I132" s="9" t="n">
        <f aca="false">E132*G132*D132/100</f>
        <v>1725.0122746512</v>
      </c>
      <c r="J132" s="9" t="n">
        <f aca="false">IF(B132=1, H132, I132)</f>
        <v>1725.0122746512</v>
      </c>
      <c r="K132" s="5" t="n">
        <v>1725.01</v>
      </c>
      <c r="L132" s="9" t="n">
        <f aca="false">J132-K132</f>
        <v>0.0022746511999685</v>
      </c>
    </row>
    <row r="133" customFormat="false" ht="15" hidden="false" customHeight="false" outlineLevel="0" collapsed="false">
      <c r="A133" s="4" t="s">
        <v>142</v>
      </c>
      <c r="B133" s="4" t="n">
        <v>1</v>
      </c>
      <c r="C133" s="5" t="n">
        <v>577104.7</v>
      </c>
      <c r="D133" s="5" t="n">
        <v>593191.25</v>
      </c>
      <c r="E133" s="6" t="n">
        <v>0.0171</v>
      </c>
      <c r="F133" s="7" t="n">
        <v>0.4581</v>
      </c>
      <c r="G133" s="8" t="n">
        <f aca="false">MIN(75, MAX(25, F133*100))</f>
        <v>45.81</v>
      </c>
      <c r="H133" s="9" t="n">
        <f aca="false">E133*G133*D133/100</f>
        <v>4646.7695887875</v>
      </c>
      <c r="I133" s="9" t="n">
        <f aca="false">E133*G133*D133/100</f>
        <v>4646.7695887875</v>
      </c>
      <c r="J133" s="9" t="n">
        <f aca="false">IF(B133=1, H133, I133)</f>
        <v>4646.7695887875</v>
      </c>
      <c r="K133" s="5" t="n">
        <v>4646.77</v>
      </c>
      <c r="L133" s="9" t="n">
        <f aca="false">J133-K133</f>
        <v>-0.000411212499784597</v>
      </c>
    </row>
    <row r="134" customFormat="false" ht="15" hidden="false" customHeight="false" outlineLevel="0" collapsed="false">
      <c r="A134" s="4" t="s">
        <v>143</v>
      </c>
      <c r="B134" s="4" t="n">
        <v>1</v>
      </c>
      <c r="C134" s="5" t="n">
        <v>1381966.63</v>
      </c>
      <c r="D134" s="5" t="n">
        <v>1441585.12</v>
      </c>
      <c r="E134" s="6" t="n">
        <v>0.0173</v>
      </c>
      <c r="F134" s="7" t="n">
        <v>0.4835</v>
      </c>
      <c r="G134" s="8" t="n">
        <f aca="false">MIN(75, MAX(25, F134*100))</f>
        <v>48.35</v>
      </c>
      <c r="H134" s="9" t="n">
        <f aca="false">E134*G134*D134/100</f>
        <v>12058.210815496</v>
      </c>
      <c r="I134" s="9" t="n">
        <f aca="false">E134*G134*D134/100</f>
        <v>12058.210815496</v>
      </c>
      <c r="J134" s="9" t="n">
        <f aca="false">IF(B134=1, H134, I134)</f>
        <v>12058.210815496</v>
      </c>
      <c r="K134" s="5" t="n">
        <v>12058.21</v>
      </c>
      <c r="L134" s="9" t="n">
        <f aca="false">J134-K134</f>
        <v>0.000815496001450811</v>
      </c>
    </row>
    <row r="135" customFormat="false" ht="15" hidden="false" customHeight="false" outlineLevel="0" collapsed="false">
      <c r="A135" s="4" t="s">
        <v>144</v>
      </c>
      <c r="B135" s="4" t="n">
        <v>1</v>
      </c>
      <c r="C135" s="5" t="n">
        <v>0</v>
      </c>
      <c r="D135" s="5" t="n">
        <v>0</v>
      </c>
      <c r="E135" s="6" t="n">
        <v>0.0156</v>
      </c>
      <c r="F135" s="7" t="n">
        <v>0.6016</v>
      </c>
      <c r="G135" s="8" t="n">
        <f aca="false">MIN(75, MAX(25, F135*100))</f>
        <v>60.16</v>
      </c>
      <c r="H135" s="9" t="n">
        <f aca="false">E135*G135*D135/100</f>
        <v>0</v>
      </c>
      <c r="I135" s="9" t="n">
        <f aca="false">E135*G135*D135/100</f>
        <v>0</v>
      </c>
      <c r="J135" s="9" t="n">
        <f aca="false">IF(B135=1, H135, I135)</f>
        <v>0</v>
      </c>
      <c r="K135" s="5" t="n">
        <v>0</v>
      </c>
      <c r="L135" s="9" t="n">
        <f aca="false">J135-K135</f>
        <v>0</v>
      </c>
    </row>
    <row r="136" customFormat="false" ht="15" hidden="false" customHeight="false" outlineLevel="0" collapsed="false">
      <c r="A136" s="4" t="s">
        <v>145</v>
      </c>
      <c r="B136" s="4" t="n">
        <v>1</v>
      </c>
      <c r="C136" s="5" t="n">
        <v>644000.01</v>
      </c>
      <c r="D136" s="5" t="n">
        <v>668326.23</v>
      </c>
      <c r="E136" s="6" t="n">
        <v>0.0223</v>
      </c>
      <c r="F136" s="7" t="n">
        <v>0.4976</v>
      </c>
      <c r="G136" s="8" t="n">
        <f aca="false">MIN(75, MAX(25, F136*100))</f>
        <v>49.76</v>
      </c>
      <c r="H136" s="9" t="n">
        <f aca="false">E136*G136*D136/100</f>
        <v>7416.0686446704</v>
      </c>
      <c r="I136" s="9" t="n">
        <f aca="false">E136*G136*D136/100</f>
        <v>7416.0686446704</v>
      </c>
      <c r="J136" s="9" t="n">
        <f aca="false">IF(B136=1, H136, I136)</f>
        <v>7416.0686446704</v>
      </c>
      <c r="K136" s="5" t="n">
        <v>7416.07</v>
      </c>
      <c r="L136" s="9" t="n">
        <f aca="false">J136-K136</f>
        <v>-0.00135532960030105</v>
      </c>
    </row>
    <row r="137" customFormat="false" ht="15" hidden="false" customHeight="false" outlineLevel="0" collapsed="false">
      <c r="A137" s="4" t="s">
        <v>146</v>
      </c>
      <c r="B137" s="4" t="n">
        <v>1</v>
      </c>
      <c r="C137" s="5" t="n">
        <v>662877.99</v>
      </c>
      <c r="D137" s="5" t="n">
        <v>683518.48</v>
      </c>
      <c r="E137" s="6" t="n">
        <v>0.0214</v>
      </c>
      <c r="F137" s="7" t="n">
        <v>0.4316</v>
      </c>
      <c r="G137" s="8" t="n">
        <f aca="false">MIN(75, MAX(25, F137*100))</f>
        <v>43.16</v>
      </c>
      <c r="H137" s="9" t="n">
        <f aca="false">E137*G137*D137/100</f>
        <v>6313.1407257152</v>
      </c>
      <c r="I137" s="9" t="n">
        <f aca="false">E137*G137*D137/100</f>
        <v>6313.1407257152</v>
      </c>
      <c r="J137" s="9" t="n">
        <f aca="false">IF(B137=1, H137, I137)</f>
        <v>6313.1407257152</v>
      </c>
      <c r="K137" s="5" t="n">
        <v>6313.14</v>
      </c>
      <c r="L137" s="9" t="n">
        <f aca="false">J137-K137</f>
        <v>0.000725715198313992</v>
      </c>
    </row>
    <row r="138" customFormat="false" ht="15" hidden="false" customHeight="false" outlineLevel="0" collapsed="false">
      <c r="A138" s="4" t="s">
        <v>147</v>
      </c>
      <c r="B138" s="4" t="n">
        <v>1</v>
      </c>
      <c r="C138" s="5" t="n">
        <v>108030.71</v>
      </c>
      <c r="D138" s="5" t="n">
        <v>110109.21</v>
      </c>
      <c r="E138" s="6" t="n">
        <v>0.0257</v>
      </c>
      <c r="F138" s="7" t="n">
        <v>0.5644</v>
      </c>
      <c r="G138" s="8" t="n">
        <f aca="false">MIN(75, MAX(25, F138*100))</f>
        <v>56.44</v>
      </c>
      <c r="H138" s="9" t="n">
        <f aca="false">E138*G138*D138/100</f>
        <v>1597.1428997868</v>
      </c>
      <c r="I138" s="9" t="n">
        <f aca="false">E138*G138*D138/100</f>
        <v>1597.1428997868</v>
      </c>
      <c r="J138" s="9" t="n">
        <f aca="false">IF(B138=1, H138, I138)</f>
        <v>1597.1428997868</v>
      </c>
      <c r="K138" s="5" t="n">
        <v>1597.14</v>
      </c>
      <c r="L138" s="9" t="n">
        <f aca="false">J138-K138</f>
        <v>0.00289978679984415</v>
      </c>
    </row>
    <row r="139" customFormat="false" ht="15" hidden="false" customHeight="false" outlineLevel="0" collapsed="false">
      <c r="A139" s="4" t="s">
        <v>148</v>
      </c>
      <c r="B139" s="4" t="n">
        <v>3</v>
      </c>
      <c r="C139" s="5" t="n">
        <v>297678.41</v>
      </c>
      <c r="D139" s="5" t="n">
        <v>309150.89</v>
      </c>
      <c r="E139" s="6" t="n">
        <v>0.9461</v>
      </c>
      <c r="F139" s="7" t="n">
        <v>0.3965</v>
      </c>
      <c r="G139" s="8" t="n">
        <f aca="false">MIN(75, MAX(25, F139*100))</f>
        <v>39.65</v>
      </c>
      <c r="H139" s="9" t="n">
        <f aca="false">E139*G139*D139/100</f>
        <v>115971.356011999</v>
      </c>
      <c r="I139" s="9" t="n">
        <f aca="false">E139*G139*D139/100</f>
        <v>115971.356011999</v>
      </c>
      <c r="J139" s="9" t="n">
        <f aca="false">IF(B139=1, H139, I139)</f>
        <v>115971.356011999</v>
      </c>
      <c r="K139" s="5" t="n">
        <v>115971.36</v>
      </c>
      <c r="L139" s="9" t="n">
        <f aca="false">J139-K139</f>
        <v>-0.00398800149559975</v>
      </c>
    </row>
    <row r="140" customFormat="false" ht="15" hidden="false" customHeight="false" outlineLevel="0" collapsed="false">
      <c r="A140" s="4" t="s">
        <v>149</v>
      </c>
      <c r="B140" s="4" t="n">
        <v>2</v>
      </c>
      <c r="C140" s="5" t="n">
        <v>308090.93</v>
      </c>
      <c r="D140" s="5" t="n">
        <v>320897.49</v>
      </c>
      <c r="E140" s="6" t="n">
        <v>0.1367</v>
      </c>
      <c r="F140" s="7" t="n">
        <v>0.4326</v>
      </c>
      <c r="G140" s="8" t="n">
        <f aca="false">MIN(75, MAX(25, F140*100))</f>
        <v>43.26</v>
      </c>
      <c r="H140" s="9" t="n">
        <f aca="false">E140*G140*D140/100</f>
        <v>18976.7287455858</v>
      </c>
      <c r="I140" s="9" t="n">
        <f aca="false">E140*G140*D140/100</f>
        <v>18976.7287455858</v>
      </c>
      <c r="J140" s="9" t="n">
        <f aca="false">IF(B140=1, H140, I140)</f>
        <v>18976.7287455858</v>
      </c>
      <c r="K140" s="5" t="n">
        <v>18976.73</v>
      </c>
      <c r="L140" s="9" t="n">
        <f aca="false">J140-K140</f>
        <v>-0.00125441420459538</v>
      </c>
    </row>
    <row r="141" customFormat="false" ht="15" hidden="false" customHeight="false" outlineLevel="0" collapsed="false">
      <c r="A141" s="4" t="s">
        <v>150</v>
      </c>
      <c r="B141" s="4" t="n">
        <v>1</v>
      </c>
      <c r="C141" s="5" t="n">
        <v>157553.29</v>
      </c>
      <c r="D141" s="5" t="n">
        <v>164132.66</v>
      </c>
      <c r="E141" s="6" t="n">
        <v>0.0203</v>
      </c>
      <c r="F141" s="7" t="n">
        <v>0.37</v>
      </c>
      <c r="G141" s="8" t="n">
        <f aca="false">MIN(75, MAX(25, F141*100))</f>
        <v>37</v>
      </c>
      <c r="H141" s="9" t="n">
        <f aca="false">E141*G141*D141/100</f>
        <v>1232.80040926</v>
      </c>
      <c r="I141" s="9" t="n">
        <f aca="false">E141*G141*D141/100</f>
        <v>1232.80040926</v>
      </c>
      <c r="J141" s="9" t="n">
        <f aca="false">IF(B141=1, H141, I141)</f>
        <v>1232.80040926</v>
      </c>
      <c r="K141" s="5" t="n">
        <v>1232.8</v>
      </c>
      <c r="L141" s="9" t="n">
        <f aca="false">J141-K141</f>
        <v>0.000409259999969436</v>
      </c>
    </row>
    <row r="142" customFormat="false" ht="15" hidden="false" customHeight="false" outlineLevel="0" collapsed="false">
      <c r="A142" s="4" t="s">
        <v>151</v>
      </c>
      <c r="B142" s="4" t="n">
        <v>1</v>
      </c>
      <c r="C142" s="5" t="n">
        <v>0</v>
      </c>
      <c r="D142" s="5" t="n">
        <v>0</v>
      </c>
      <c r="E142" s="6" t="n">
        <v>0.024</v>
      </c>
      <c r="F142" s="7" t="n">
        <v>0.3734</v>
      </c>
      <c r="G142" s="8" t="n">
        <f aca="false">MIN(75, MAX(25, F142*100))</f>
        <v>37.34</v>
      </c>
      <c r="H142" s="9" t="n">
        <f aca="false">E142*G142*D142/100</f>
        <v>0</v>
      </c>
      <c r="I142" s="9" t="n">
        <f aca="false">E142*G142*D142/100</f>
        <v>0</v>
      </c>
      <c r="J142" s="9" t="n">
        <f aca="false">IF(B142=1, H142, I142)</f>
        <v>0</v>
      </c>
      <c r="K142" s="5" t="n">
        <v>0</v>
      </c>
      <c r="L142" s="9" t="n">
        <f aca="false">J142-K142</f>
        <v>0</v>
      </c>
    </row>
    <row r="143" customFormat="false" ht="15" hidden="false" customHeight="false" outlineLevel="0" collapsed="false">
      <c r="A143" s="4" t="s">
        <v>152</v>
      </c>
      <c r="B143" s="4" t="n">
        <v>1</v>
      </c>
      <c r="C143" s="5" t="n">
        <v>1054223.15</v>
      </c>
      <c r="D143" s="5" t="n">
        <v>1097770.74</v>
      </c>
      <c r="E143" s="6" t="n">
        <v>0.0189</v>
      </c>
      <c r="F143" s="7" t="n">
        <v>0.54</v>
      </c>
      <c r="G143" s="8" t="n">
        <f aca="false">MIN(75, MAX(25, F143*100))</f>
        <v>54</v>
      </c>
      <c r="H143" s="9" t="n">
        <f aca="false">E143*G143*D143/100</f>
        <v>11203.84817244</v>
      </c>
      <c r="I143" s="9" t="n">
        <f aca="false">E143*G143*D143/100</f>
        <v>11203.84817244</v>
      </c>
      <c r="J143" s="9" t="n">
        <f aca="false">IF(B143=1, H143, I143)</f>
        <v>11203.84817244</v>
      </c>
      <c r="K143" s="5" t="n">
        <v>11203.85</v>
      </c>
      <c r="L143" s="9" t="n">
        <f aca="false">J143-K143</f>
        <v>-0.00182755999958317</v>
      </c>
    </row>
    <row r="144" customFormat="false" ht="15" hidden="false" customHeight="false" outlineLevel="0" collapsed="false">
      <c r="A144" s="4" t="s">
        <v>153</v>
      </c>
      <c r="B144" s="4" t="n">
        <v>1</v>
      </c>
      <c r="C144" s="5" t="n">
        <v>255646.71</v>
      </c>
      <c r="D144" s="5" t="n">
        <v>258624.92</v>
      </c>
      <c r="E144" s="6" t="n">
        <v>0.0184</v>
      </c>
      <c r="F144" s="7" t="n">
        <v>0.5246</v>
      </c>
      <c r="G144" s="8" t="n">
        <f aca="false">MIN(75, MAX(25, F144*100))</f>
        <v>52.46</v>
      </c>
      <c r="H144" s="9" t="n">
        <f aca="false">E144*G144*D144/100</f>
        <v>2496.4132477888</v>
      </c>
      <c r="I144" s="9" t="n">
        <f aca="false">E144*G144*D144/100</f>
        <v>2496.4132477888</v>
      </c>
      <c r="J144" s="9" t="n">
        <f aca="false">IF(B144=1, H144, I144)</f>
        <v>2496.4132477888</v>
      </c>
      <c r="K144" s="5" t="n">
        <v>2496.41</v>
      </c>
      <c r="L144" s="9" t="n">
        <f aca="false">J144-K144</f>
        <v>0.00324778879985388</v>
      </c>
    </row>
    <row r="145" customFormat="false" ht="15" hidden="false" customHeight="false" outlineLevel="0" collapsed="false">
      <c r="A145" s="4" t="s">
        <v>154</v>
      </c>
      <c r="B145" s="4" t="n">
        <v>1</v>
      </c>
      <c r="C145" s="5" t="n">
        <v>621329.22</v>
      </c>
      <c r="D145" s="5" t="n">
        <v>636937.06</v>
      </c>
      <c r="E145" s="6" t="n">
        <v>0.0205</v>
      </c>
      <c r="F145" s="7" t="n">
        <v>0.3949</v>
      </c>
      <c r="G145" s="8" t="n">
        <f aca="false">MIN(75, MAX(25, F145*100))</f>
        <v>39.49</v>
      </c>
      <c r="H145" s="9" t="n">
        <f aca="false">E145*G145*D145/100</f>
        <v>5156.292122377</v>
      </c>
      <c r="I145" s="9" t="n">
        <f aca="false">E145*G145*D145/100</f>
        <v>5156.292122377</v>
      </c>
      <c r="J145" s="9" t="n">
        <f aca="false">IF(B145=1, H145, I145)</f>
        <v>5156.292122377</v>
      </c>
      <c r="K145" s="5" t="n">
        <v>5156.29</v>
      </c>
      <c r="L145" s="9" t="n">
        <f aca="false">J145-K145</f>
        <v>0.00212237699997786</v>
      </c>
    </row>
    <row r="146" customFormat="false" ht="15" hidden="false" customHeight="false" outlineLevel="0" collapsed="false">
      <c r="A146" s="4" t="s">
        <v>155</v>
      </c>
      <c r="B146" s="4" t="n">
        <v>1</v>
      </c>
      <c r="C146" s="5" t="n">
        <v>1658887.89</v>
      </c>
      <c r="D146" s="5" t="n">
        <v>1694559.43</v>
      </c>
      <c r="E146" s="6" t="n">
        <v>0.0169</v>
      </c>
      <c r="F146" s="7" t="n">
        <v>0.4299</v>
      </c>
      <c r="G146" s="8" t="n">
        <f aca="false">MIN(75, MAX(25, F146*100))</f>
        <v>42.99</v>
      </c>
      <c r="H146" s="9" t="n">
        <f aca="false">E146*G146*D146/100</f>
        <v>12311.4995723733</v>
      </c>
      <c r="I146" s="9" t="n">
        <f aca="false">E146*G146*D146/100</f>
        <v>12311.4995723733</v>
      </c>
      <c r="J146" s="9" t="n">
        <f aca="false">IF(B146=1, H146, I146)</f>
        <v>12311.4995723733</v>
      </c>
      <c r="K146" s="5" t="n">
        <v>12311.5</v>
      </c>
      <c r="L146" s="9" t="n">
        <f aca="false">J146-K146</f>
        <v>-0.000427626702730777</v>
      </c>
    </row>
    <row r="147" customFormat="false" ht="15" hidden="false" customHeight="false" outlineLevel="0" collapsed="false">
      <c r="A147" s="4" t="s">
        <v>156</v>
      </c>
      <c r="B147" s="4" t="n">
        <v>1</v>
      </c>
      <c r="C147" s="5" t="n">
        <v>312308.08</v>
      </c>
      <c r="D147" s="5" t="n">
        <v>317072.62</v>
      </c>
      <c r="E147" s="6" t="n">
        <v>0.0181</v>
      </c>
      <c r="F147" s="7" t="n">
        <v>0.5913</v>
      </c>
      <c r="G147" s="8" t="n">
        <f aca="false">MIN(75, MAX(25, F147*100))</f>
        <v>59.13</v>
      </c>
      <c r="H147" s="9" t="n">
        <f aca="false">E147*G147*D147/100</f>
        <v>3393.4792277286</v>
      </c>
      <c r="I147" s="9" t="n">
        <f aca="false">E147*G147*D147/100</f>
        <v>3393.4792277286</v>
      </c>
      <c r="J147" s="9" t="n">
        <f aca="false">IF(B147=1, H147, I147)</f>
        <v>3393.4792277286</v>
      </c>
      <c r="K147" s="5" t="n">
        <v>3393.48</v>
      </c>
      <c r="L147" s="9" t="n">
        <f aca="false">J147-K147</f>
        <v>-0.000772271399455349</v>
      </c>
    </row>
    <row r="148" customFormat="false" ht="15" hidden="false" customHeight="false" outlineLevel="0" collapsed="false">
      <c r="A148" s="4" t="s">
        <v>157</v>
      </c>
      <c r="B148" s="4" t="n">
        <v>1</v>
      </c>
      <c r="C148" s="5" t="n">
        <v>801217.09</v>
      </c>
      <c r="D148" s="5" t="n">
        <v>829647.83</v>
      </c>
      <c r="E148" s="6" t="n">
        <v>0.0258</v>
      </c>
      <c r="F148" s="7" t="n">
        <v>0.5026</v>
      </c>
      <c r="G148" s="8" t="n">
        <f aca="false">MIN(75, MAX(25, F148*100))</f>
        <v>50.26</v>
      </c>
      <c r="H148" s="9" t="n">
        <f aca="false">E148*G148*D148/100</f>
        <v>10758.1097834364</v>
      </c>
      <c r="I148" s="9" t="n">
        <f aca="false">E148*G148*D148/100</f>
        <v>10758.1097834364</v>
      </c>
      <c r="J148" s="9" t="n">
        <f aca="false">IF(B148=1, H148, I148)</f>
        <v>10758.1097834364</v>
      </c>
      <c r="K148" s="5" t="n">
        <v>10758.11</v>
      </c>
      <c r="L148" s="9" t="n">
        <f aca="false">J148-K148</f>
        <v>-0.000216563597859931</v>
      </c>
    </row>
    <row r="149" customFormat="false" ht="15" hidden="false" customHeight="false" outlineLevel="0" collapsed="false">
      <c r="A149" s="4" t="s">
        <v>158</v>
      </c>
      <c r="B149" s="4" t="n">
        <v>1</v>
      </c>
      <c r="C149" s="5" t="n">
        <v>488083.65</v>
      </c>
      <c r="D149" s="5" t="n">
        <v>498491.18</v>
      </c>
      <c r="E149" s="6" t="n">
        <v>0.019</v>
      </c>
      <c r="F149" s="7" t="n">
        <v>0.5219</v>
      </c>
      <c r="G149" s="8" t="n">
        <f aca="false">MIN(75, MAX(25, F149*100))</f>
        <v>52.19</v>
      </c>
      <c r="H149" s="9" t="n">
        <f aca="false">E149*G149*D149/100</f>
        <v>4943.088389998</v>
      </c>
      <c r="I149" s="9" t="n">
        <f aca="false">E149*G149*D149/100</f>
        <v>4943.088389998</v>
      </c>
      <c r="J149" s="9" t="n">
        <f aca="false">IF(B149=1, H149, I149)</f>
        <v>4943.088389998</v>
      </c>
      <c r="K149" s="5" t="n">
        <v>4943.09</v>
      </c>
      <c r="L149" s="9" t="n">
        <f aca="false">J149-K149</f>
        <v>-0.00161000200023409</v>
      </c>
    </row>
    <row r="150" customFormat="false" ht="15" hidden="false" customHeight="false" outlineLevel="0" collapsed="false">
      <c r="A150" s="4" t="s">
        <v>159</v>
      </c>
      <c r="B150" s="4" t="n">
        <v>1</v>
      </c>
      <c r="C150" s="5" t="n">
        <v>2205081.43</v>
      </c>
      <c r="D150" s="5" t="n">
        <v>2275296.45</v>
      </c>
      <c r="E150" s="6" t="n">
        <v>0.0229</v>
      </c>
      <c r="F150" s="7" t="n">
        <v>0.5965</v>
      </c>
      <c r="G150" s="8" t="n">
        <f aca="false">MIN(75, MAX(25, F150*100))</f>
        <v>59.65</v>
      </c>
      <c r="H150" s="9" t="n">
        <f aca="false">E150*G150*D150/100</f>
        <v>31080.2082125325</v>
      </c>
      <c r="I150" s="9" t="n">
        <f aca="false">E150*G150*D150/100</f>
        <v>31080.2082125325</v>
      </c>
      <c r="J150" s="9" t="n">
        <f aca="false">IF(B150=1, H150, I150)</f>
        <v>31080.2082125325</v>
      </c>
      <c r="K150" s="5" t="n">
        <v>31080.21</v>
      </c>
      <c r="L150" s="9" t="n">
        <f aca="false">J150-K150</f>
        <v>-0.00178746749224956</v>
      </c>
    </row>
    <row r="151" customFormat="false" ht="15" hidden="false" customHeight="false" outlineLevel="0" collapsed="false">
      <c r="A151" s="4" t="s">
        <v>160</v>
      </c>
      <c r="B151" s="4" t="n">
        <v>1</v>
      </c>
      <c r="C151" s="5" t="n">
        <v>579549.74</v>
      </c>
      <c r="D151" s="5" t="n">
        <v>606414.86</v>
      </c>
      <c r="E151" s="6" t="n">
        <v>0.0231</v>
      </c>
      <c r="F151" s="7" t="n">
        <v>0.3698</v>
      </c>
      <c r="G151" s="8" t="n">
        <f aca="false">MIN(75, MAX(25, F151*100))</f>
        <v>36.98</v>
      </c>
      <c r="H151" s="9" t="n">
        <f aca="false">E151*G151*D151/100</f>
        <v>5180.2261717668</v>
      </c>
      <c r="I151" s="9" t="n">
        <f aca="false">E151*G151*D151/100</f>
        <v>5180.2261717668</v>
      </c>
      <c r="J151" s="9" t="n">
        <f aca="false">IF(B151=1, H151, I151)</f>
        <v>5180.2261717668</v>
      </c>
      <c r="K151" s="5" t="n">
        <v>5180.23</v>
      </c>
      <c r="L151" s="9" t="n">
        <f aca="false">J151-K151</f>
        <v>-0.00382823319978343</v>
      </c>
    </row>
    <row r="152" customFormat="false" ht="15" hidden="false" customHeight="false" outlineLevel="0" collapsed="false">
      <c r="A152" s="4" t="s">
        <v>161</v>
      </c>
      <c r="B152" s="4" t="n">
        <v>3</v>
      </c>
      <c r="C152" s="5" t="n">
        <v>594949.65</v>
      </c>
      <c r="D152" s="5" t="n">
        <v>622288.56</v>
      </c>
      <c r="E152" s="6" t="n">
        <v>0.6799</v>
      </c>
      <c r="F152" s="7" t="n">
        <v>0.4383</v>
      </c>
      <c r="G152" s="8" t="n">
        <f aca="false">MIN(75, MAX(25, F152*100))</f>
        <v>43.83</v>
      </c>
      <c r="H152" s="9" t="n">
        <f aca="false">E152*G152*D152/100</f>
        <v>185442.096669055</v>
      </c>
      <c r="I152" s="9" t="n">
        <f aca="false">E152*G152*D152/100</f>
        <v>185442.096669055</v>
      </c>
      <c r="J152" s="9" t="n">
        <f aca="false">IF(B152=1, H152, I152)</f>
        <v>185442.096669055</v>
      </c>
      <c r="K152" s="5" t="n">
        <v>185442.1</v>
      </c>
      <c r="L152" s="9" t="n">
        <f aca="false">J152-K152</f>
        <v>-0.00333094477537088</v>
      </c>
    </row>
    <row r="153" customFormat="false" ht="15" hidden="false" customHeight="false" outlineLevel="0" collapsed="false">
      <c r="A153" s="4" t="s">
        <v>162</v>
      </c>
      <c r="B153" s="4" t="n">
        <v>1</v>
      </c>
      <c r="C153" s="5" t="n">
        <v>510082.79</v>
      </c>
      <c r="D153" s="5" t="n">
        <v>529676.61</v>
      </c>
      <c r="E153" s="6" t="n">
        <v>0.0185</v>
      </c>
      <c r="F153" s="7" t="n">
        <v>0.4642</v>
      </c>
      <c r="G153" s="8" t="n">
        <f aca="false">MIN(75, MAX(25, F153*100))</f>
        <v>46.42</v>
      </c>
      <c r="H153" s="9" t="n">
        <f aca="false">E153*G153*D153/100</f>
        <v>4548.703823697</v>
      </c>
      <c r="I153" s="9" t="n">
        <f aca="false">E153*G153*D153/100</f>
        <v>4548.703823697</v>
      </c>
      <c r="J153" s="9" t="n">
        <f aca="false">IF(B153=1, H153, I153)</f>
        <v>4548.703823697</v>
      </c>
      <c r="K153" s="5" t="n">
        <v>4548.7</v>
      </c>
      <c r="L153" s="9" t="n">
        <f aca="false">J153-K153</f>
        <v>0.00382369700037088</v>
      </c>
    </row>
    <row r="154" customFormat="false" ht="15" hidden="false" customHeight="false" outlineLevel="0" collapsed="false">
      <c r="A154" s="4" t="s">
        <v>163</v>
      </c>
      <c r="B154" s="4" t="n">
        <v>1</v>
      </c>
      <c r="C154" s="5" t="n">
        <v>294895.41</v>
      </c>
      <c r="D154" s="5" t="n">
        <v>304164.5</v>
      </c>
      <c r="E154" s="6" t="n">
        <v>0.0246</v>
      </c>
      <c r="F154" s="7" t="n">
        <v>0.4334</v>
      </c>
      <c r="G154" s="8" t="n">
        <f aca="false">MIN(75, MAX(25, F154*100))</f>
        <v>43.34</v>
      </c>
      <c r="H154" s="9" t="n">
        <f aca="false">E154*G154*D154/100</f>
        <v>3242.89239978</v>
      </c>
      <c r="I154" s="9" t="n">
        <f aca="false">E154*G154*D154/100</f>
        <v>3242.89239978</v>
      </c>
      <c r="J154" s="9" t="n">
        <f aca="false">IF(B154=1, H154, I154)</f>
        <v>3242.89239978</v>
      </c>
      <c r="K154" s="5" t="n">
        <v>3242.89</v>
      </c>
      <c r="L154" s="9" t="n">
        <f aca="false">J154-K154</f>
        <v>0.00239978000081464</v>
      </c>
    </row>
    <row r="155" customFormat="false" ht="15" hidden="false" customHeight="false" outlineLevel="0" collapsed="false">
      <c r="A155" s="4" t="s">
        <v>164</v>
      </c>
      <c r="B155" s="4" t="n">
        <v>1</v>
      </c>
      <c r="C155" s="5" t="n">
        <v>28711.76</v>
      </c>
      <c r="D155" s="5" t="n">
        <v>29708.95</v>
      </c>
      <c r="E155" s="6" t="n">
        <v>0.0175</v>
      </c>
      <c r="F155" s="7" t="n">
        <v>0.3904</v>
      </c>
      <c r="G155" s="8" t="n">
        <f aca="false">MIN(75, MAX(25, F155*100))</f>
        <v>39.04</v>
      </c>
      <c r="H155" s="9" t="n">
        <f aca="false">E155*G155*D155/100</f>
        <v>202.9715464</v>
      </c>
      <c r="I155" s="9" t="n">
        <f aca="false">E155*G155*D155/100</f>
        <v>202.9715464</v>
      </c>
      <c r="J155" s="9" t="n">
        <f aca="false">IF(B155=1, H155, I155)</f>
        <v>202.9715464</v>
      </c>
      <c r="K155" s="5" t="n">
        <v>202.97</v>
      </c>
      <c r="L155" s="9" t="n">
        <f aca="false">J155-K155</f>
        <v>0.00154639999999517</v>
      </c>
    </row>
    <row r="156" customFormat="false" ht="15" hidden="false" customHeight="false" outlineLevel="0" collapsed="false">
      <c r="A156" s="4" t="s">
        <v>165</v>
      </c>
      <c r="B156" s="4" t="n">
        <v>1</v>
      </c>
      <c r="C156" s="5" t="n">
        <v>614809</v>
      </c>
      <c r="D156" s="5" t="n">
        <v>627536.81</v>
      </c>
      <c r="E156" s="6" t="n">
        <v>0.0236</v>
      </c>
      <c r="F156" s="7" t="n">
        <v>0.6497</v>
      </c>
      <c r="G156" s="8" t="n">
        <f aca="false">MIN(75, MAX(25, F156*100))</f>
        <v>64.97</v>
      </c>
      <c r="H156" s="9" t="n">
        <f aca="false">E156*G156*D156/100</f>
        <v>9621.9717047852</v>
      </c>
      <c r="I156" s="9" t="n">
        <f aca="false">E156*G156*D156/100</f>
        <v>9621.9717047852</v>
      </c>
      <c r="J156" s="9" t="n">
        <f aca="false">IF(B156=1, H156, I156)</f>
        <v>9621.9717047852</v>
      </c>
      <c r="K156" s="5" t="n">
        <v>9621.97</v>
      </c>
      <c r="L156" s="9" t="n">
        <f aca="false">J156-K156</f>
        <v>0.00170478519976314</v>
      </c>
    </row>
    <row r="157" customFormat="false" ht="15" hidden="false" customHeight="false" outlineLevel="0" collapsed="false">
      <c r="A157" s="4" t="s">
        <v>166</v>
      </c>
      <c r="B157" s="4" t="n">
        <v>1</v>
      </c>
      <c r="C157" s="5" t="n">
        <v>342083.51</v>
      </c>
      <c r="D157" s="5" t="n">
        <v>354483.42</v>
      </c>
      <c r="E157" s="6" t="n">
        <v>0.024</v>
      </c>
      <c r="F157" s="7" t="n">
        <v>0.4398</v>
      </c>
      <c r="G157" s="8" t="n">
        <f aca="false">MIN(75, MAX(25, F157*100))</f>
        <v>43.98</v>
      </c>
      <c r="H157" s="9" t="n">
        <f aca="false">E157*G157*D157/100</f>
        <v>3741.643394784</v>
      </c>
      <c r="I157" s="9" t="n">
        <f aca="false">E157*G157*D157/100</f>
        <v>3741.643394784</v>
      </c>
      <c r="J157" s="9" t="n">
        <f aca="false">IF(B157=1, H157, I157)</f>
        <v>3741.643394784</v>
      </c>
      <c r="K157" s="5" t="n">
        <v>3741.64</v>
      </c>
      <c r="L157" s="9" t="n">
        <f aca="false">J157-K157</f>
        <v>0.00339478400019289</v>
      </c>
    </row>
    <row r="158" customFormat="false" ht="15" hidden="false" customHeight="false" outlineLevel="0" collapsed="false">
      <c r="A158" s="4" t="s">
        <v>167</v>
      </c>
      <c r="B158" s="4" t="n">
        <v>1</v>
      </c>
      <c r="C158" s="5" t="n">
        <v>339452.22</v>
      </c>
      <c r="D158" s="5" t="n">
        <v>342882.36</v>
      </c>
      <c r="E158" s="6" t="n">
        <v>0.0185</v>
      </c>
      <c r="F158" s="7" t="n">
        <v>0.3612</v>
      </c>
      <c r="G158" s="8" t="n">
        <f aca="false">MIN(75, MAX(25, F158*100))</f>
        <v>36.12</v>
      </c>
      <c r="H158" s="9" t="n">
        <f aca="false">E158*G158*D158/100</f>
        <v>2291.208505992</v>
      </c>
      <c r="I158" s="9" t="n">
        <f aca="false">E158*G158*D158/100</f>
        <v>2291.208505992</v>
      </c>
      <c r="J158" s="9" t="n">
        <f aca="false">IF(B158=1, H158, I158)</f>
        <v>2291.208505992</v>
      </c>
      <c r="K158" s="5" t="n">
        <v>2291.21</v>
      </c>
      <c r="L158" s="9" t="n">
        <f aca="false">J158-K158</f>
        <v>-0.00149400800000876</v>
      </c>
    </row>
    <row r="159" customFormat="false" ht="15" hidden="false" customHeight="false" outlineLevel="0" collapsed="false">
      <c r="A159" s="4" t="s">
        <v>168</v>
      </c>
      <c r="B159" s="4" t="n">
        <v>2</v>
      </c>
      <c r="C159" s="5" t="n">
        <v>827225.79</v>
      </c>
      <c r="D159" s="5" t="n">
        <v>835521.02</v>
      </c>
      <c r="E159" s="6" t="n">
        <v>0.13</v>
      </c>
      <c r="F159" s="7" t="n">
        <v>0.413</v>
      </c>
      <c r="G159" s="8" t="n">
        <f aca="false">MIN(75, MAX(25, F159*100))</f>
        <v>41.3</v>
      </c>
      <c r="H159" s="9" t="n">
        <f aca="false">E159*G159*D159/100</f>
        <v>44859.1235638</v>
      </c>
      <c r="I159" s="9" t="n">
        <f aca="false">E159*G159*D159/100</f>
        <v>44859.1235638</v>
      </c>
      <c r="J159" s="9" t="n">
        <f aca="false">IF(B159=1, H159, I159)</f>
        <v>44859.1235638</v>
      </c>
      <c r="K159" s="5" t="n">
        <v>44859.12</v>
      </c>
      <c r="L159" s="9" t="n">
        <f aca="false">J159-K159</f>
        <v>0.00356379999720957</v>
      </c>
    </row>
    <row r="160" customFormat="false" ht="15" hidden="false" customHeight="false" outlineLevel="0" collapsed="false">
      <c r="A160" s="4" t="s">
        <v>169</v>
      </c>
      <c r="B160" s="4" t="n">
        <v>1</v>
      </c>
      <c r="C160" s="5" t="n">
        <v>440016.21</v>
      </c>
      <c r="D160" s="5" t="n">
        <v>459625</v>
      </c>
      <c r="E160" s="6" t="n">
        <v>0.0187</v>
      </c>
      <c r="F160" s="7" t="n">
        <v>0.5614</v>
      </c>
      <c r="G160" s="8" t="n">
        <f aca="false">MIN(75, MAX(25, F160*100))</f>
        <v>56.14</v>
      </c>
      <c r="H160" s="9" t="n">
        <f aca="false">E160*G160*D160/100</f>
        <v>4825.2259825</v>
      </c>
      <c r="I160" s="9" t="n">
        <f aca="false">E160*G160*D160/100</f>
        <v>4825.2259825</v>
      </c>
      <c r="J160" s="9" t="n">
        <f aca="false">IF(B160=1, H160, I160)</f>
        <v>4825.2259825</v>
      </c>
      <c r="K160" s="5" t="n">
        <v>4825.23</v>
      </c>
      <c r="L160" s="9" t="n">
        <f aca="false">J160-K160</f>
        <v>-0.00401749999946333</v>
      </c>
    </row>
    <row r="161" customFormat="false" ht="15" hidden="false" customHeight="false" outlineLevel="0" collapsed="false">
      <c r="A161" s="4" t="s">
        <v>170</v>
      </c>
      <c r="B161" s="4" t="n">
        <v>2</v>
      </c>
      <c r="C161" s="5" t="n">
        <v>776020.42</v>
      </c>
      <c r="D161" s="5" t="n">
        <v>786972.29</v>
      </c>
      <c r="E161" s="6" t="n">
        <v>0.1185</v>
      </c>
      <c r="F161" s="7" t="n">
        <v>0.6037</v>
      </c>
      <c r="G161" s="8" t="n">
        <f aca="false">MIN(75, MAX(25, F161*100))</f>
        <v>60.37</v>
      </c>
      <c r="H161" s="9" t="n">
        <f aca="false">E161*G161*D161/100</f>
        <v>56298.7778195505</v>
      </c>
      <c r="I161" s="9" t="n">
        <f aca="false">E161*G161*D161/100</f>
        <v>56298.7778195505</v>
      </c>
      <c r="J161" s="9" t="n">
        <f aca="false">IF(B161=1, H161, I161)</f>
        <v>56298.7778195505</v>
      </c>
      <c r="K161" s="5" t="n">
        <v>56298.78</v>
      </c>
      <c r="L161" s="9" t="n">
        <f aca="false">J161-K161</f>
        <v>-0.00218044949724572</v>
      </c>
    </row>
    <row r="162" customFormat="false" ht="15" hidden="false" customHeight="false" outlineLevel="0" collapsed="false">
      <c r="A162" s="4" t="s">
        <v>171</v>
      </c>
      <c r="B162" s="4" t="n">
        <v>1</v>
      </c>
      <c r="C162" s="5" t="n">
        <v>1636300</v>
      </c>
      <c r="D162" s="5" t="n">
        <v>1672725.37</v>
      </c>
      <c r="E162" s="6" t="n">
        <v>0.0179</v>
      </c>
      <c r="F162" s="7" t="n">
        <v>0.3793</v>
      </c>
      <c r="G162" s="8" t="n">
        <f aca="false">MIN(75, MAX(25, F162*100))</f>
        <v>37.93</v>
      </c>
      <c r="H162" s="9" t="n">
        <f aca="false">E162*G162*D162/100</f>
        <v>11356.9187178539</v>
      </c>
      <c r="I162" s="9" t="n">
        <f aca="false">E162*G162*D162/100</f>
        <v>11356.9187178539</v>
      </c>
      <c r="J162" s="9" t="n">
        <f aca="false">IF(B162=1, H162, I162)</f>
        <v>11356.9187178539</v>
      </c>
      <c r="K162" s="5" t="n">
        <v>11356.92</v>
      </c>
      <c r="L162" s="9" t="n">
        <f aca="false">J162-K162</f>
        <v>-0.00128214610049326</v>
      </c>
    </row>
    <row r="163" customFormat="false" ht="15" hidden="false" customHeight="false" outlineLevel="0" collapsed="false">
      <c r="A163" s="4" t="s">
        <v>172</v>
      </c>
      <c r="B163" s="4" t="n">
        <v>1</v>
      </c>
      <c r="C163" s="5" t="n">
        <v>1592366.96</v>
      </c>
      <c r="D163" s="5" t="n">
        <v>1597335.99</v>
      </c>
      <c r="E163" s="6" t="n">
        <v>0.0242</v>
      </c>
      <c r="F163" s="7" t="n">
        <v>0.6058</v>
      </c>
      <c r="G163" s="8" t="n">
        <f aca="false">MIN(75, MAX(25, F163*100))</f>
        <v>60.58</v>
      </c>
      <c r="H163" s="9" t="n">
        <f aca="false">E163*G163*D163/100</f>
        <v>23417.5206543564</v>
      </c>
      <c r="I163" s="9" t="n">
        <f aca="false">E163*G163*D163/100</f>
        <v>23417.5206543564</v>
      </c>
      <c r="J163" s="9" t="n">
        <f aca="false">IF(B163=1, H163, I163)</f>
        <v>23417.5206543564</v>
      </c>
      <c r="K163" s="5" t="n">
        <v>23417.52</v>
      </c>
      <c r="L163" s="9" t="n">
        <f aca="false">J163-K163</f>
        <v>0.000654356401355472</v>
      </c>
    </row>
    <row r="164" customFormat="false" ht="15" hidden="false" customHeight="false" outlineLevel="0" collapsed="false">
      <c r="A164" s="4" t="s">
        <v>173</v>
      </c>
      <c r="B164" s="4" t="n">
        <v>1</v>
      </c>
      <c r="C164" s="5" t="n">
        <v>606537.59</v>
      </c>
      <c r="D164" s="5" t="n">
        <v>619782.4</v>
      </c>
      <c r="E164" s="6" t="n">
        <v>0.0227</v>
      </c>
      <c r="F164" s="7" t="n">
        <v>0.496</v>
      </c>
      <c r="G164" s="8" t="n">
        <f aca="false">MIN(75, MAX(25, F164*100))</f>
        <v>49.6</v>
      </c>
      <c r="H164" s="9" t="n">
        <f aca="false">E164*G164*D164/100</f>
        <v>6978.25399808</v>
      </c>
      <c r="I164" s="9" t="n">
        <f aca="false">E164*G164*D164/100</f>
        <v>6978.25399808</v>
      </c>
      <c r="J164" s="9" t="n">
        <f aca="false">IF(B164=1, H164, I164)</f>
        <v>6978.25399808</v>
      </c>
      <c r="K164" s="5" t="n">
        <v>6978.25</v>
      </c>
      <c r="L164" s="9" t="n">
        <f aca="false">J164-K164</f>
        <v>0.00399808000111079</v>
      </c>
    </row>
    <row r="165" customFormat="false" ht="15" hidden="false" customHeight="false" outlineLevel="0" collapsed="false">
      <c r="A165" s="4" t="s">
        <v>174</v>
      </c>
      <c r="B165" s="4" t="n">
        <v>2</v>
      </c>
      <c r="C165" s="5" t="n">
        <v>893826.19</v>
      </c>
      <c r="D165" s="5" t="n">
        <v>932231.7</v>
      </c>
      <c r="E165" s="6" t="n">
        <v>0.1366</v>
      </c>
      <c r="F165" s="7" t="n">
        <v>0.5079</v>
      </c>
      <c r="G165" s="8" t="n">
        <f aca="false">MIN(75, MAX(25, F165*100))</f>
        <v>50.79</v>
      </c>
      <c r="H165" s="9" t="n">
        <f aca="false">E165*G165*D165/100</f>
        <v>64677.433626738</v>
      </c>
      <c r="I165" s="9" t="n">
        <f aca="false">E165*G165*D165/100</f>
        <v>64677.433626738</v>
      </c>
      <c r="J165" s="9" t="n">
        <f aca="false">IF(B165=1, H165, I165)</f>
        <v>64677.433626738</v>
      </c>
      <c r="K165" s="5" t="n">
        <v>64677.43</v>
      </c>
      <c r="L165" s="9" t="n">
        <f aca="false">J165-K165</f>
        <v>0.00362673799827462</v>
      </c>
    </row>
    <row r="166" customFormat="false" ht="15" hidden="false" customHeight="false" outlineLevel="0" collapsed="false">
      <c r="A166" s="4" t="s">
        <v>175</v>
      </c>
      <c r="B166" s="4" t="n">
        <v>1</v>
      </c>
      <c r="C166" s="5" t="n">
        <v>553065.7</v>
      </c>
      <c r="D166" s="5" t="n">
        <v>568907.16</v>
      </c>
      <c r="E166" s="6" t="n">
        <v>0.0216</v>
      </c>
      <c r="F166" s="7" t="n">
        <v>0.5234</v>
      </c>
      <c r="G166" s="8" t="n">
        <f aca="false">MIN(75, MAX(25, F166*100))</f>
        <v>52.34</v>
      </c>
      <c r="H166" s="9" t="n">
        <f aca="false">E166*G166*D166/100</f>
        <v>6431.7457629504</v>
      </c>
      <c r="I166" s="9" t="n">
        <f aca="false">E166*G166*D166/100</f>
        <v>6431.7457629504</v>
      </c>
      <c r="J166" s="9" t="n">
        <f aca="false">IF(B166=1, H166, I166)</f>
        <v>6431.7457629504</v>
      </c>
      <c r="K166" s="5" t="n">
        <v>6431.75</v>
      </c>
      <c r="L166" s="9" t="n">
        <f aca="false">J166-K166</f>
        <v>-0.00423704959939641</v>
      </c>
    </row>
    <row r="167" customFormat="false" ht="15" hidden="false" customHeight="false" outlineLevel="0" collapsed="false">
      <c r="A167" s="4" t="s">
        <v>176</v>
      </c>
      <c r="B167" s="4" t="n">
        <v>1</v>
      </c>
      <c r="C167" s="5" t="n">
        <v>417677.38</v>
      </c>
      <c r="D167" s="5" t="n">
        <v>435170.01</v>
      </c>
      <c r="E167" s="6" t="n">
        <v>0.0211</v>
      </c>
      <c r="F167" s="7" t="n">
        <v>0.5965</v>
      </c>
      <c r="G167" s="8" t="n">
        <f aca="false">MIN(75, MAX(25, F167*100))</f>
        <v>59.65</v>
      </c>
      <c r="H167" s="9" t="n">
        <f aca="false">E167*G167*D167/100</f>
        <v>5477.1150213615</v>
      </c>
      <c r="I167" s="9" t="n">
        <f aca="false">E167*G167*D167/100</f>
        <v>5477.1150213615</v>
      </c>
      <c r="J167" s="9" t="n">
        <f aca="false">IF(B167=1, H167, I167)</f>
        <v>5477.1150213615</v>
      </c>
      <c r="K167" s="5" t="n">
        <v>5477.12</v>
      </c>
      <c r="L167" s="9" t="n">
        <f aca="false">J167-K167</f>
        <v>-0.00497863849886926</v>
      </c>
    </row>
    <row r="168" customFormat="false" ht="15" hidden="false" customHeight="false" outlineLevel="0" collapsed="false">
      <c r="A168" s="4" t="s">
        <v>177</v>
      </c>
      <c r="B168" s="4" t="n">
        <v>1</v>
      </c>
      <c r="C168" s="5" t="n">
        <v>35325.84</v>
      </c>
      <c r="D168" s="5" t="n">
        <v>36532</v>
      </c>
      <c r="E168" s="6" t="n">
        <v>0.0221</v>
      </c>
      <c r="F168" s="7" t="n">
        <v>0.6385</v>
      </c>
      <c r="G168" s="8" t="n">
        <f aca="false">MIN(75, MAX(25, F168*100))</f>
        <v>63.85</v>
      </c>
      <c r="H168" s="9" t="n">
        <f aca="false">E168*G168*D168/100</f>
        <v>515.4975722</v>
      </c>
      <c r="I168" s="9" t="n">
        <f aca="false">E168*G168*D168/100</f>
        <v>515.4975722</v>
      </c>
      <c r="J168" s="9" t="n">
        <f aca="false">IF(B168=1, H168, I168)</f>
        <v>515.4975722</v>
      </c>
      <c r="K168" s="5" t="n">
        <v>515.5</v>
      </c>
      <c r="L168" s="9" t="n">
        <f aca="false">J168-K168</f>
        <v>-0.00242779999996401</v>
      </c>
    </row>
    <row r="169" customFormat="false" ht="15" hidden="false" customHeight="false" outlineLevel="0" collapsed="false">
      <c r="A169" s="4" t="s">
        <v>178</v>
      </c>
      <c r="B169" s="4" t="n">
        <v>1</v>
      </c>
      <c r="C169" s="5" t="n">
        <v>739508.12</v>
      </c>
      <c r="D169" s="5" t="n">
        <v>741611.35</v>
      </c>
      <c r="E169" s="6" t="n">
        <v>0.0144</v>
      </c>
      <c r="F169" s="7" t="n">
        <v>0.5358</v>
      </c>
      <c r="G169" s="8" t="n">
        <f aca="false">MIN(75, MAX(25, F169*100))</f>
        <v>53.58</v>
      </c>
      <c r="H169" s="9" t="n">
        <f aca="false">E169*G169*D169/100</f>
        <v>5721.917203152</v>
      </c>
      <c r="I169" s="9" t="n">
        <f aca="false">E169*G169*D169/100</f>
        <v>5721.917203152</v>
      </c>
      <c r="J169" s="9" t="n">
        <f aca="false">IF(B169=1, H169, I169)</f>
        <v>5721.917203152</v>
      </c>
      <c r="K169" s="5" t="n">
        <v>5721.92</v>
      </c>
      <c r="L169" s="9" t="n">
        <f aca="false">J169-K169</f>
        <v>-0.002796847999889</v>
      </c>
    </row>
    <row r="170" customFormat="false" ht="15" hidden="false" customHeight="false" outlineLevel="0" collapsed="false">
      <c r="A170" s="4" t="s">
        <v>179</v>
      </c>
      <c r="B170" s="4" t="n">
        <v>1</v>
      </c>
      <c r="C170" s="5" t="n">
        <v>0</v>
      </c>
      <c r="D170" s="5" t="n">
        <v>0</v>
      </c>
      <c r="E170" s="6" t="n">
        <v>0.0161</v>
      </c>
      <c r="F170" s="7" t="n">
        <v>0.4976</v>
      </c>
      <c r="G170" s="8" t="n">
        <f aca="false">MIN(75, MAX(25, F170*100))</f>
        <v>49.76</v>
      </c>
      <c r="H170" s="9" t="n">
        <f aca="false">E170*G170*D170/100</f>
        <v>0</v>
      </c>
      <c r="I170" s="9" t="n">
        <f aca="false">E170*G170*D170/100</f>
        <v>0</v>
      </c>
      <c r="J170" s="9" t="n">
        <f aca="false">IF(B170=1, H170, I170)</f>
        <v>0</v>
      </c>
      <c r="K170" s="5" t="n">
        <v>0</v>
      </c>
      <c r="L170" s="9" t="n">
        <f aca="false">J170-K170</f>
        <v>0</v>
      </c>
    </row>
    <row r="171" customFormat="false" ht="15" hidden="false" customHeight="false" outlineLevel="0" collapsed="false">
      <c r="A171" s="4" t="s">
        <v>180</v>
      </c>
      <c r="B171" s="4" t="n">
        <v>1</v>
      </c>
      <c r="C171" s="5" t="n">
        <v>0</v>
      </c>
      <c r="D171" s="5" t="n">
        <v>0</v>
      </c>
      <c r="E171" s="6" t="n">
        <v>0.0208</v>
      </c>
      <c r="F171" s="7" t="n">
        <v>0.6305</v>
      </c>
      <c r="G171" s="8" t="n">
        <f aca="false">MIN(75, MAX(25, F171*100))</f>
        <v>63.05</v>
      </c>
      <c r="H171" s="9" t="n">
        <f aca="false">E171*G171*D171/100</f>
        <v>0</v>
      </c>
      <c r="I171" s="9" t="n">
        <f aca="false">E171*G171*D171/100</f>
        <v>0</v>
      </c>
      <c r="J171" s="9" t="n">
        <f aca="false">IF(B171=1, H171, I171)</f>
        <v>0</v>
      </c>
      <c r="K171" s="5" t="n">
        <v>0</v>
      </c>
      <c r="L171" s="9" t="n">
        <f aca="false">J171-K171</f>
        <v>0</v>
      </c>
    </row>
    <row r="172" customFormat="false" ht="15" hidden="false" customHeight="false" outlineLevel="0" collapsed="false">
      <c r="A172" s="4" t="s">
        <v>181</v>
      </c>
      <c r="B172" s="4" t="n">
        <v>1</v>
      </c>
      <c r="C172" s="5" t="n">
        <v>608652.33</v>
      </c>
      <c r="D172" s="5" t="n">
        <v>633356.86</v>
      </c>
      <c r="E172" s="6" t="n">
        <v>0.02</v>
      </c>
      <c r="F172" s="7" t="n">
        <v>0.6395</v>
      </c>
      <c r="G172" s="8" t="n">
        <f aca="false">MIN(75, MAX(25, F172*100))</f>
        <v>63.95</v>
      </c>
      <c r="H172" s="9" t="n">
        <f aca="false">E172*G172*D172/100</f>
        <v>8100.6342394</v>
      </c>
      <c r="I172" s="9" t="n">
        <f aca="false">E172*G172*D172/100</f>
        <v>8100.6342394</v>
      </c>
      <c r="J172" s="9" t="n">
        <f aca="false">IF(B172=1, H172, I172)</f>
        <v>8100.6342394</v>
      </c>
      <c r="K172" s="5" t="n">
        <v>8100.63</v>
      </c>
      <c r="L172" s="9" t="n">
        <f aca="false">J172-K172</f>
        <v>0.00423939999836875</v>
      </c>
    </row>
    <row r="173" customFormat="false" ht="15" hidden="false" customHeight="false" outlineLevel="0" collapsed="false">
      <c r="A173" s="4" t="s">
        <v>182</v>
      </c>
      <c r="B173" s="4" t="n">
        <v>1</v>
      </c>
      <c r="C173" s="5" t="n">
        <v>88745.98</v>
      </c>
      <c r="D173" s="5" t="n">
        <v>90951.95</v>
      </c>
      <c r="E173" s="6" t="n">
        <v>0.0238</v>
      </c>
      <c r="F173" s="7" t="n">
        <v>0.3819</v>
      </c>
      <c r="G173" s="8" t="n">
        <f aca="false">MIN(75, MAX(25, F173*100))</f>
        <v>38.19</v>
      </c>
      <c r="H173" s="9" t="n">
        <f aca="false">E173*G173*D173/100</f>
        <v>826.682282979</v>
      </c>
      <c r="I173" s="9" t="n">
        <f aca="false">E173*G173*D173/100</f>
        <v>826.682282979</v>
      </c>
      <c r="J173" s="9" t="n">
        <f aca="false">IF(B173=1, H173, I173)</f>
        <v>826.682282979</v>
      </c>
      <c r="K173" s="5" t="n">
        <v>826.68</v>
      </c>
      <c r="L173" s="9" t="n">
        <f aca="false">J173-K173</f>
        <v>0.00228297900025609</v>
      </c>
    </row>
    <row r="174" customFormat="false" ht="15" hidden="false" customHeight="false" outlineLevel="0" collapsed="false">
      <c r="A174" s="4" t="s">
        <v>183</v>
      </c>
      <c r="B174" s="4" t="n">
        <v>2</v>
      </c>
      <c r="C174" s="5" t="n">
        <v>1121162</v>
      </c>
      <c r="D174" s="5" t="n">
        <v>1164470.4</v>
      </c>
      <c r="E174" s="6" t="n">
        <v>0.114</v>
      </c>
      <c r="F174" s="7" t="n">
        <v>0.5922</v>
      </c>
      <c r="G174" s="8" t="n">
        <f aca="false">MIN(75, MAX(25, F174*100))</f>
        <v>59.22</v>
      </c>
      <c r="H174" s="9" t="n">
        <f aca="false">E174*G174*D174/100</f>
        <v>78614.32828032</v>
      </c>
      <c r="I174" s="9" t="n">
        <f aca="false">E174*G174*D174/100</f>
        <v>78614.32828032</v>
      </c>
      <c r="J174" s="9" t="n">
        <f aca="false">IF(B174=1, H174, I174)</f>
        <v>78614.32828032</v>
      </c>
      <c r="K174" s="5" t="n">
        <v>78614.33</v>
      </c>
      <c r="L174" s="9" t="n">
        <f aca="false">J174-K174</f>
        <v>-0.00171968001814093</v>
      </c>
    </row>
    <row r="175" customFormat="false" ht="15" hidden="false" customHeight="false" outlineLevel="0" collapsed="false">
      <c r="A175" s="4" t="s">
        <v>184</v>
      </c>
      <c r="B175" s="4" t="n">
        <v>1</v>
      </c>
      <c r="C175" s="5" t="n">
        <v>603945.66</v>
      </c>
      <c r="D175" s="5" t="n">
        <v>631807.88</v>
      </c>
      <c r="E175" s="6" t="n">
        <v>0.02</v>
      </c>
      <c r="F175" s="7" t="n">
        <v>0.3979</v>
      </c>
      <c r="G175" s="8" t="n">
        <f aca="false">MIN(75, MAX(25, F175*100))</f>
        <v>39.79</v>
      </c>
      <c r="H175" s="9" t="n">
        <f aca="false">E175*G175*D175/100</f>
        <v>5027.92710904</v>
      </c>
      <c r="I175" s="9" t="n">
        <f aca="false">E175*G175*D175/100</f>
        <v>5027.92710904</v>
      </c>
      <c r="J175" s="9" t="n">
        <f aca="false">IF(B175=1, H175, I175)</f>
        <v>5027.92710904</v>
      </c>
      <c r="K175" s="5" t="n">
        <v>5027.93</v>
      </c>
      <c r="L175" s="9" t="n">
        <f aca="false">J175-K175</f>
        <v>-0.00289096000051359</v>
      </c>
    </row>
    <row r="176" customFormat="false" ht="15" hidden="false" customHeight="false" outlineLevel="0" collapsed="false">
      <c r="A176" s="4" t="s">
        <v>185</v>
      </c>
      <c r="B176" s="4" t="n">
        <v>1</v>
      </c>
      <c r="C176" s="5" t="n">
        <v>563250.55</v>
      </c>
      <c r="D176" s="5" t="n">
        <v>569338.31</v>
      </c>
      <c r="E176" s="6" t="n">
        <v>0.0147</v>
      </c>
      <c r="F176" s="7" t="n">
        <v>0.4808</v>
      </c>
      <c r="G176" s="8" t="n">
        <f aca="false">MIN(75, MAX(25, F176*100))</f>
        <v>48.08</v>
      </c>
      <c r="H176" s="9" t="n">
        <f aca="false">E176*G176*D176/100</f>
        <v>4023.9465338856</v>
      </c>
      <c r="I176" s="9" t="n">
        <f aca="false">E176*G176*D176/100</f>
        <v>4023.9465338856</v>
      </c>
      <c r="J176" s="9" t="n">
        <f aca="false">IF(B176=1, H176, I176)</f>
        <v>4023.9465338856</v>
      </c>
      <c r="K176" s="5" t="n">
        <v>4023.95</v>
      </c>
      <c r="L176" s="9" t="n">
        <f aca="false">J176-K176</f>
        <v>-0.00346611439999833</v>
      </c>
    </row>
    <row r="177" customFormat="false" ht="15" hidden="false" customHeight="false" outlineLevel="0" collapsed="false">
      <c r="A177" s="4" t="s">
        <v>186</v>
      </c>
      <c r="B177" s="4" t="n">
        <v>3</v>
      </c>
      <c r="C177" s="5" t="n">
        <v>97799.42</v>
      </c>
      <c r="D177" s="5" t="n">
        <v>98886.98</v>
      </c>
      <c r="E177" s="6" t="n">
        <v>0.7214</v>
      </c>
      <c r="F177" s="7" t="n">
        <v>0.4803</v>
      </c>
      <c r="G177" s="8" t="n">
        <f aca="false">MIN(75, MAX(25, F177*100))</f>
        <v>48.03</v>
      </c>
      <c r="H177" s="9" t="n">
        <f aca="false">E177*G177*D177/100</f>
        <v>34263.1934587716</v>
      </c>
      <c r="I177" s="9" t="n">
        <f aca="false">E177*G177*D177/100</f>
        <v>34263.1934587716</v>
      </c>
      <c r="J177" s="9" t="n">
        <f aca="false">IF(B177=1, H177, I177)</f>
        <v>34263.1934587716</v>
      </c>
      <c r="K177" s="5" t="n">
        <v>34263.19</v>
      </c>
      <c r="L177" s="9" t="n">
        <f aca="false">J177-K177</f>
        <v>0.00345877159270458</v>
      </c>
    </row>
    <row r="178" customFormat="false" ht="15" hidden="false" customHeight="false" outlineLevel="0" collapsed="false">
      <c r="A178" s="4" t="s">
        <v>187</v>
      </c>
      <c r="B178" s="4" t="n">
        <v>1</v>
      </c>
      <c r="C178" s="5" t="n">
        <v>242418.86</v>
      </c>
      <c r="D178" s="5" t="n">
        <v>242714.77</v>
      </c>
      <c r="E178" s="6" t="n">
        <v>0.0243</v>
      </c>
      <c r="F178" s="7" t="n">
        <v>0.5742</v>
      </c>
      <c r="G178" s="8" t="n">
        <f aca="false">MIN(75, MAX(25, F178*100))</f>
        <v>57.42</v>
      </c>
      <c r="H178" s="9" t="n">
        <f aca="false">E178*G178*D178/100</f>
        <v>3386.6137486962</v>
      </c>
      <c r="I178" s="9" t="n">
        <f aca="false">E178*G178*D178/100</f>
        <v>3386.6137486962</v>
      </c>
      <c r="J178" s="9" t="n">
        <f aca="false">IF(B178=1, H178, I178)</f>
        <v>3386.6137486962</v>
      </c>
      <c r="K178" s="5" t="n">
        <v>3386.61</v>
      </c>
      <c r="L178" s="9" t="n">
        <f aca="false">J178-K178</f>
        <v>0.00374869619963647</v>
      </c>
    </row>
    <row r="179" customFormat="false" ht="15" hidden="false" customHeight="false" outlineLevel="0" collapsed="false">
      <c r="A179" s="4" t="s">
        <v>188</v>
      </c>
      <c r="B179" s="4" t="n">
        <v>2</v>
      </c>
      <c r="C179" s="5" t="n">
        <v>411988.69</v>
      </c>
      <c r="D179" s="5" t="n">
        <v>423539.99</v>
      </c>
      <c r="E179" s="6" t="n">
        <v>0.1307</v>
      </c>
      <c r="F179" s="7" t="n">
        <v>0.5615</v>
      </c>
      <c r="G179" s="8" t="n">
        <f aca="false">MIN(75, MAX(25, F179*100))</f>
        <v>56.15</v>
      </c>
      <c r="H179" s="9" t="n">
        <f aca="false">E179*G179*D179/100</f>
        <v>31082.7739631195</v>
      </c>
      <c r="I179" s="9" t="n">
        <f aca="false">E179*G179*D179/100</f>
        <v>31082.7739631195</v>
      </c>
      <c r="J179" s="9" t="n">
        <f aca="false">IF(B179=1, H179, I179)</f>
        <v>31082.7739631195</v>
      </c>
      <c r="K179" s="5" t="n">
        <v>31082.77</v>
      </c>
      <c r="L179" s="9" t="n">
        <f aca="false">J179-K179</f>
        <v>0.00396311950316886</v>
      </c>
    </row>
    <row r="180" customFormat="false" ht="15" hidden="false" customHeight="false" outlineLevel="0" collapsed="false">
      <c r="A180" s="4" t="s">
        <v>189</v>
      </c>
      <c r="B180" s="4" t="n">
        <v>1</v>
      </c>
      <c r="C180" s="5" t="n">
        <v>1281497.82</v>
      </c>
      <c r="D180" s="5" t="n">
        <v>1292055.2</v>
      </c>
      <c r="E180" s="6" t="n">
        <v>0.0255</v>
      </c>
      <c r="F180" s="7" t="n">
        <v>0.3731</v>
      </c>
      <c r="G180" s="8" t="n">
        <f aca="false">MIN(75, MAX(25, F180*100))</f>
        <v>37.31</v>
      </c>
      <c r="H180" s="9" t="n">
        <f aca="false">E180*G180*D180/100</f>
        <v>12292.67777556</v>
      </c>
      <c r="I180" s="9" t="n">
        <f aca="false">E180*G180*D180/100</f>
        <v>12292.67777556</v>
      </c>
      <c r="J180" s="9" t="n">
        <f aca="false">IF(B180=1, H180, I180)</f>
        <v>12292.67777556</v>
      </c>
      <c r="K180" s="5" t="n">
        <v>12292.68</v>
      </c>
      <c r="L180" s="9" t="n">
        <f aca="false">J180-K180</f>
        <v>-0.00222444000246469</v>
      </c>
    </row>
    <row r="181" customFormat="false" ht="15" hidden="false" customHeight="false" outlineLevel="0" collapsed="false">
      <c r="A181" s="4" t="s">
        <v>190</v>
      </c>
      <c r="B181" s="4" t="n">
        <v>1</v>
      </c>
      <c r="C181" s="5" t="n">
        <v>512067.07</v>
      </c>
      <c r="D181" s="5" t="n">
        <v>532274.97</v>
      </c>
      <c r="E181" s="6" t="n">
        <v>0.0248</v>
      </c>
      <c r="F181" s="7" t="n">
        <v>0.4419</v>
      </c>
      <c r="G181" s="8" t="n">
        <f aca="false">MIN(75, MAX(25, F181*100))</f>
        <v>44.19</v>
      </c>
      <c r="H181" s="9" t="n">
        <f aca="false">E181*G181*D181/100</f>
        <v>5833.2652692264</v>
      </c>
      <c r="I181" s="9" t="n">
        <f aca="false">E181*G181*D181/100</f>
        <v>5833.2652692264</v>
      </c>
      <c r="J181" s="9" t="n">
        <f aca="false">IF(B181=1, H181, I181)</f>
        <v>5833.2652692264</v>
      </c>
      <c r="K181" s="5" t="n">
        <v>5833.27</v>
      </c>
      <c r="L181" s="9" t="n">
        <f aca="false">J181-K181</f>
        <v>-0.00473077360129537</v>
      </c>
    </row>
    <row r="182" customFormat="false" ht="15" hidden="false" customHeight="false" outlineLevel="0" collapsed="false">
      <c r="A182" s="4" t="s">
        <v>191</v>
      </c>
      <c r="B182" s="4" t="n">
        <v>1</v>
      </c>
      <c r="C182" s="5" t="n">
        <v>514245.84</v>
      </c>
      <c r="D182" s="5" t="n">
        <v>518426.6</v>
      </c>
      <c r="E182" s="6" t="n">
        <v>0.0185</v>
      </c>
      <c r="F182" s="7" t="n">
        <v>0.512</v>
      </c>
      <c r="G182" s="8" t="n">
        <f aca="false">MIN(75, MAX(25, F182*100))</f>
        <v>51.2</v>
      </c>
      <c r="H182" s="9" t="n">
        <f aca="false">E182*G182*D182/100</f>
        <v>4910.5367552</v>
      </c>
      <c r="I182" s="9" t="n">
        <f aca="false">E182*G182*D182/100</f>
        <v>4910.5367552</v>
      </c>
      <c r="J182" s="9" t="n">
        <f aca="false">IF(B182=1, H182, I182)</f>
        <v>4910.5367552</v>
      </c>
      <c r="K182" s="5" t="n">
        <v>4910.54</v>
      </c>
      <c r="L182" s="9" t="n">
        <f aca="false">J182-K182</f>
        <v>-0.00324480000017502</v>
      </c>
    </row>
    <row r="183" customFormat="false" ht="15" hidden="false" customHeight="false" outlineLevel="0" collapsed="false">
      <c r="A183" s="4" t="s">
        <v>192</v>
      </c>
      <c r="B183" s="4" t="n">
        <v>1</v>
      </c>
      <c r="C183" s="5" t="n">
        <v>485759.29</v>
      </c>
      <c r="D183" s="5" t="n">
        <v>508484.69</v>
      </c>
      <c r="E183" s="6" t="n">
        <v>0.021</v>
      </c>
      <c r="F183" s="7" t="n">
        <v>0.4166</v>
      </c>
      <c r="G183" s="8" t="n">
        <f aca="false">MIN(75, MAX(25, F183*100))</f>
        <v>41.66</v>
      </c>
      <c r="H183" s="9" t="n">
        <f aca="false">E183*G183*D183/100</f>
        <v>4448.529158934</v>
      </c>
      <c r="I183" s="9" t="n">
        <f aca="false">E183*G183*D183/100</f>
        <v>4448.529158934</v>
      </c>
      <c r="J183" s="9" t="n">
        <f aca="false">IF(B183=1, H183, I183)</f>
        <v>4448.529158934</v>
      </c>
      <c r="K183" s="5" t="n">
        <v>4448.53</v>
      </c>
      <c r="L183" s="9" t="n">
        <f aca="false">J183-K183</f>
        <v>-0.000841065999338753</v>
      </c>
    </row>
    <row r="184" customFormat="false" ht="15" hidden="false" customHeight="false" outlineLevel="0" collapsed="false">
      <c r="A184" s="4" t="s">
        <v>193</v>
      </c>
      <c r="B184" s="4" t="n">
        <v>3</v>
      </c>
      <c r="C184" s="5" t="n">
        <v>538731.11</v>
      </c>
      <c r="D184" s="5" t="n">
        <v>541049.75</v>
      </c>
      <c r="E184" s="6" t="n">
        <v>0.6662</v>
      </c>
      <c r="F184" s="7" t="n">
        <v>0.5262</v>
      </c>
      <c r="G184" s="8" t="n">
        <f aca="false">MIN(75, MAX(25, F184*100))</f>
        <v>52.62</v>
      </c>
      <c r="H184" s="9" t="n">
        <f aca="false">E184*G184*D184/100</f>
        <v>189667.39212339</v>
      </c>
      <c r="I184" s="9" t="n">
        <f aca="false">E184*G184*D184/100</f>
        <v>189667.39212339</v>
      </c>
      <c r="J184" s="9" t="n">
        <f aca="false">IF(B184=1, H184, I184)</f>
        <v>189667.39212339</v>
      </c>
      <c r="K184" s="5" t="n">
        <v>189667.39</v>
      </c>
      <c r="L184" s="9" t="n">
        <f aca="false">J184-K184</f>
        <v>0.00212338997516781</v>
      </c>
    </row>
    <row r="185" customFormat="false" ht="15" hidden="false" customHeight="false" outlineLevel="0" collapsed="false">
      <c r="A185" s="4" t="s">
        <v>194</v>
      </c>
      <c r="B185" s="4" t="n">
        <v>1</v>
      </c>
      <c r="C185" s="5" t="n">
        <v>543272.06</v>
      </c>
      <c r="D185" s="5" t="n">
        <v>560786.77</v>
      </c>
      <c r="E185" s="6" t="n">
        <v>0.0162</v>
      </c>
      <c r="F185" s="7" t="n">
        <v>0.622</v>
      </c>
      <c r="G185" s="8" t="n">
        <f aca="false">MIN(75, MAX(25, F185*100))</f>
        <v>62.2</v>
      </c>
      <c r="H185" s="9" t="n">
        <f aca="false">E185*G185*D185/100</f>
        <v>5650.711809228</v>
      </c>
      <c r="I185" s="9" t="n">
        <f aca="false">E185*G185*D185/100</f>
        <v>5650.711809228</v>
      </c>
      <c r="J185" s="9" t="n">
        <f aca="false">IF(B185=1, H185, I185)</f>
        <v>5650.711809228</v>
      </c>
      <c r="K185" s="5" t="n">
        <v>5650.71</v>
      </c>
      <c r="L185" s="9" t="n">
        <f aca="false">J185-K185</f>
        <v>0.00180922800063854</v>
      </c>
    </row>
    <row r="186" customFormat="false" ht="15" hidden="false" customHeight="false" outlineLevel="0" collapsed="false">
      <c r="A186" s="4" t="s">
        <v>195</v>
      </c>
      <c r="B186" s="4" t="n">
        <v>1</v>
      </c>
      <c r="C186" s="5" t="n">
        <v>2648777.58</v>
      </c>
      <c r="D186" s="5" t="n">
        <v>2673046.67</v>
      </c>
      <c r="E186" s="6" t="n">
        <v>0.0202</v>
      </c>
      <c r="F186" s="7" t="n">
        <v>0.5799</v>
      </c>
      <c r="G186" s="8" t="n">
        <f aca="false">MIN(75, MAX(25, F186*100))</f>
        <v>57.99</v>
      </c>
      <c r="H186" s="9" t="n">
        <f aca="false">E186*G186*D186/100</f>
        <v>31312.0152314466</v>
      </c>
      <c r="I186" s="9" t="n">
        <f aca="false">E186*G186*D186/100</f>
        <v>31312.0152314466</v>
      </c>
      <c r="J186" s="9" t="n">
        <f aca="false">IF(B186=1, H186, I186)</f>
        <v>31312.0152314466</v>
      </c>
      <c r="K186" s="5" t="n">
        <v>31312.02</v>
      </c>
      <c r="L186" s="9" t="n">
        <f aca="false">J186-K186</f>
        <v>-0.00476855340457405</v>
      </c>
    </row>
    <row r="187" customFormat="false" ht="15" hidden="false" customHeight="false" outlineLevel="0" collapsed="false">
      <c r="A187" s="4" t="s">
        <v>196</v>
      </c>
      <c r="B187" s="4" t="n">
        <v>1</v>
      </c>
      <c r="C187" s="5" t="n">
        <v>398406.89</v>
      </c>
      <c r="D187" s="5" t="n">
        <v>400728.92</v>
      </c>
      <c r="E187" s="6" t="n">
        <v>0.019</v>
      </c>
      <c r="F187" s="7" t="n">
        <v>0.6248</v>
      </c>
      <c r="G187" s="8" t="n">
        <f aca="false">MIN(75, MAX(25, F187*100))</f>
        <v>62.48</v>
      </c>
      <c r="H187" s="9" t="n">
        <f aca="false">E187*G187*D187/100</f>
        <v>4757.133155104</v>
      </c>
      <c r="I187" s="9" t="n">
        <f aca="false">E187*G187*D187/100</f>
        <v>4757.133155104</v>
      </c>
      <c r="J187" s="9" t="n">
        <f aca="false">IF(B187=1, H187, I187)</f>
        <v>4757.133155104</v>
      </c>
      <c r="K187" s="5" t="n">
        <v>4757.13</v>
      </c>
      <c r="L187" s="9" t="n">
        <f aca="false">J187-K187</f>
        <v>0.00315510400014318</v>
      </c>
    </row>
    <row r="188" customFormat="false" ht="15" hidden="false" customHeight="false" outlineLevel="0" collapsed="false">
      <c r="A188" s="4" t="s">
        <v>197</v>
      </c>
      <c r="B188" s="4" t="n">
        <v>1</v>
      </c>
      <c r="C188" s="5" t="n">
        <v>520209.72</v>
      </c>
      <c r="D188" s="5" t="n">
        <v>521335.49</v>
      </c>
      <c r="E188" s="6" t="n">
        <v>0.0196</v>
      </c>
      <c r="F188" s="7" t="n">
        <v>0.6226</v>
      </c>
      <c r="G188" s="8" t="n">
        <f aca="false">MIN(75, MAX(25, F188*100))</f>
        <v>62.26</v>
      </c>
      <c r="H188" s="9" t="n">
        <f aca="false">E188*G188*D188/100</f>
        <v>6361.8361310504</v>
      </c>
      <c r="I188" s="9" t="n">
        <f aca="false">E188*G188*D188/100</f>
        <v>6361.8361310504</v>
      </c>
      <c r="J188" s="9" t="n">
        <f aca="false">IF(B188=1, H188, I188)</f>
        <v>6361.8361310504</v>
      </c>
      <c r="K188" s="5" t="n">
        <v>6361.84</v>
      </c>
      <c r="L188" s="9" t="n">
        <f aca="false">J188-K188</f>
        <v>-0.00386894959956408</v>
      </c>
    </row>
    <row r="189" customFormat="false" ht="15" hidden="false" customHeight="false" outlineLevel="0" collapsed="false">
      <c r="A189" s="4" t="s">
        <v>198</v>
      </c>
      <c r="B189" s="4" t="n">
        <v>1</v>
      </c>
      <c r="C189" s="5" t="n">
        <v>181383.08</v>
      </c>
      <c r="D189" s="5" t="n">
        <v>185688.35</v>
      </c>
      <c r="E189" s="6" t="n">
        <v>0.025</v>
      </c>
      <c r="F189" s="7" t="n">
        <v>0.6054</v>
      </c>
      <c r="G189" s="8" t="n">
        <f aca="false">MIN(75, MAX(25, F189*100))</f>
        <v>60.54</v>
      </c>
      <c r="H189" s="9" t="n">
        <f aca="false">E189*G189*D189/100</f>
        <v>2810.39317725</v>
      </c>
      <c r="I189" s="9" t="n">
        <f aca="false">E189*G189*D189/100</f>
        <v>2810.39317725</v>
      </c>
      <c r="J189" s="9" t="n">
        <f aca="false">IF(B189=1, H189, I189)</f>
        <v>2810.39317725</v>
      </c>
      <c r="K189" s="5" t="n">
        <v>2810.39</v>
      </c>
      <c r="L189" s="9" t="n">
        <f aca="false">J189-K189</f>
        <v>0.00317725000104474</v>
      </c>
    </row>
    <row r="190" customFormat="false" ht="15" hidden="false" customHeight="false" outlineLevel="0" collapsed="false">
      <c r="A190" s="4" t="s">
        <v>199</v>
      </c>
      <c r="B190" s="4" t="n">
        <v>1</v>
      </c>
      <c r="C190" s="5" t="n">
        <v>453686.11</v>
      </c>
      <c r="D190" s="5" t="n">
        <v>472764.93</v>
      </c>
      <c r="E190" s="6" t="n">
        <v>0.0163</v>
      </c>
      <c r="F190" s="7" t="n">
        <v>0.3709</v>
      </c>
      <c r="G190" s="8" t="n">
        <f aca="false">MIN(75, MAX(25, F190*100))</f>
        <v>37.09</v>
      </c>
      <c r="H190" s="9" t="n">
        <f aca="false">E190*G190*D190/100</f>
        <v>2858.1807543531</v>
      </c>
      <c r="I190" s="9" t="n">
        <f aca="false">E190*G190*D190/100</f>
        <v>2858.1807543531</v>
      </c>
      <c r="J190" s="9" t="n">
        <f aca="false">IF(B190=1, H190, I190)</f>
        <v>2858.1807543531</v>
      </c>
      <c r="K190" s="5" t="n">
        <v>2858.18</v>
      </c>
      <c r="L190" s="9" t="n">
        <f aca="false">J190-K190</f>
        <v>0.000754353099637228</v>
      </c>
    </row>
    <row r="191" customFormat="false" ht="15" hidden="false" customHeight="false" outlineLevel="0" collapsed="false">
      <c r="A191" s="4" t="s">
        <v>200</v>
      </c>
      <c r="B191" s="4" t="n">
        <v>1</v>
      </c>
      <c r="C191" s="5" t="n">
        <v>260490.14</v>
      </c>
      <c r="D191" s="5" t="n">
        <v>272865.23</v>
      </c>
      <c r="E191" s="6" t="n">
        <v>0.0183</v>
      </c>
      <c r="F191" s="7" t="n">
        <v>0.55</v>
      </c>
      <c r="G191" s="8" t="n">
        <f aca="false">MIN(75, MAX(25, F191*100))</f>
        <v>55</v>
      </c>
      <c r="H191" s="9" t="n">
        <f aca="false">E191*G191*D191/100</f>
        <v>2746.38853995</v>
      </c>
      <c r="I191" s="9" t="n">
        <f aca="false">E191*G191*D191/100</f>
        <v>2746.38853995</v>
      </c>
      <c r="J191" s="9" t="n">
        <f aca="false">IF(B191=1, H191, I191)</f>
        <v>2746.38853995</v>
      </c>
      <c r="K191" s="5" t="n">
        <v>2746.39</v>
      </c>
      <c r="L191" s="9" t="n">
        <f aca="false">J191-K191</f>
        <v>-0.00146004999987781</v>
      </c>
    </row>
    <row r="192" customFormat="false" ht="15" hidden="false" customHeight="false" outlineLevel="0" collapsed="false">
      <c r="A192" s="4" t="s">
        <v>201</v>
      </c>
      <c r="B192" s="4" t="n">
        <v>1</v>
      </c>
      <c r="C192" s="5" t="n">
        <v>318237.45</v>
      </c>
      <c r="D192" s="5" t="n">
        <v>325086.02</v>
      </c>
      <c r="E192" s="6" t="n">
        <v>0.0254</v>
      </c>
      <c r="F192" s="7" t="n">
        <v>0.3595</v>
      </c>
      <c r="G192" s="8" t="n">
        <f aca="false">MIN(75, MAX(25, F192*100))</f>
        <v>35.95</v>
      </c>
      <c r="H192" s="9" t="n">
        <f aca="false">E192*G192*D192/100</f>
        <v>2968.457974426</v>
      </c>
      <c r="I192" s="9" t="n">
        <f aca="false">E192*G192*D192/100</f>
        <v>2968.457974426</v>
      </c>
      <c r="J192" s="9" t="n">
        <f aca="false">IF(B192=1, H192, I192)</f>
        <v>2968.457974426</v>
      </c>
      <c r="K192" s="5" t="n">
        <v>2968.46</v>
      </c>
      <c r="L192" s="9" t="n">
        <f aca="false">J192-K192</f>
        <v>-0.00202557400052683</v>
      </c>
    </row>
    <row r="193" customFormat="false" ht="15" hidden="false" customHeight="false" outlineLevel="0" collapsed="false">
      <c r="A193" s="4" t="s">
        <v>202</v>
      </c>
      <c r="B193" s="4" t="n">
        <v>1</v>
      </c>
      <c r="C193" s="5" t="n">
        <v>850677.86</v>
      </c>
      <c r="D193" s="5" t="n">
        <v>853290.46</v>
      </c>
      <c r="E193" s="6" t="n">
        <v>0.0232</v>
      </c>
      <c r="F193" s="7" t="n">
        <v>0.4353</v>
      </c>
      <c r="G193" s="8" t="n">
        <f aca="false">MIN(75, MAX(25, F193*100))</f>
        <v>43.53</v>
      </c>
      <c r="H193" s="9" t="n">
        <f aca="false">E193*G193*D193/100</f>
        <v>8617.3462239216</v>
      </c>
      <c r="I193" s="9" t="n">
        <f aca="false">E193*G193*D193/100</f>
        <v>8617.3462239216</v>
      </c>
      <c r="J193" s="9" t="n">
        <f aca="false">IF(B193=1, H193, I193)</f>
        <v>8617.3462239216</v>
      </c>
      <c r="K193" s="5" t="n">
        <v>8617.35</v>
      </c>
      <c r="L193" s="9" t="n">
        <f aca="false">J193-K193</f>
        <v>-0.00377607840164274</v>
      </c>
    </row>
    <row r="194" customFormat="false" ht="15" hidden="false" customHeight="false" outlineLevel="0" collapsed="false">
      <c r="A194" s="4" t="s">
        <v>203</v>
      </c>
      <c r="B194" s="4" t="n">
        <v>1</v>
      </c>
      <c r="C194" s="5" t="n">
        <v>666957.92</v>
      </c>
      <c r="D194" s="5" t="n">
        <v>683243.65</v>
      </c>
      <c r="E194" s="6" t="n">
        <v>0.0179</v>
      </c>
      <c r="F194" s="7" t="n">
        <v>0.3793</v>
      </c>
      <c r="G194" s="8" t="n">
        <f aca="false">MIN(75, MAX(25, F194*100))</f>
        <v>37.93</v>
      </c>
      <c r="H194" s="9" t="n">
        <f aca="false">E194*G194*D194/100</f>
        <v>4638.8622643655</v>
      </c>
      <c r="I194" s="9" t="n">
        <f aca="false">E194*G194*D194/100</f>
        <v>4638.8622643655</v>
      </c>
      <c r="J194" s="9" t="n">
        <f aca="false">IF(B194=1, H194, I194)</f>
        <v>4638.8622643655</v>
      </c>
      <c r="K194" s="5" t="n">
        <v>4638.86</v>
      </c>
      <c r="L194" s="9" t="n">
        <f aca="false">J194-K194</f>
        <v>0.00226436550019571</v>
      </c>
    </row>
    <row r="195" customFormat="false" ht="15" hidden="false" customHeight="false" outlineLevel="0" collapsed="false">
      <c r="A195" s="4" t="s">
        <v>204</v>
      </c>
      <c r="B195" s="4" t="n">
        <v>1</v>
      </c>
      <c r="C195" s="5" t="n">
        <v>461695.91</v>
      </c>
      <c r="D195" s="5" t="n">
        <v>477011.67</v>
      </c>
      <c r="E195" s="6" t="n">
        <v>0.0201</v>
      </c>
      <c r="F195" s="7" t="n">
        <v>0.44</v>
      </c>
      <c r="G195" s="8" t="n">
        <f aca="false">MIN(75, MAX(25, F195*100))</f>
        <v>44</v>
      </c>
      <c r="H195" s="9" t="n">
        <f aca="false">E195*G195*D195/100</f>
        <v>4218.69120948</v>
      </c>
      <c r="I195" s="9" t="n">
        <f aca="false">E195*G195*D195/100</f>
        <v>4218.69120948</v>
      </c>
      <c r="J195" s="9" t="n">
        <f aca="false">IF(B195=1, H195, I195)</f>
        <v>4218.69120948</v>
      </c>
      <c r="K195" s="5" t="n">
        <v>4218.69</v>
      </c>
      <c r="L195" s="9" t="n">
        <f aca="false">J195-K195</f>
        <v>0.00120948000039789</v>
      </c>
    </row>
    <row r="196" customFormat="false" ht="15" hidden="false" customHeight="false" outlineLevel="0" collapsed="false">
      <c r="A196" s="4" t="s">
        <v>205</v>
      </c>
      <c r="B196" s="4" t="n">
        <v>1</v>
      </c>
      <c r="C196" s="5" t="n">
        <v>1099709.03</v>
      </c>
      <c r="D196" s="5" t="n">
        <v>1115492.31</v>
      </c>
      <c r="E196" s="6" t="n">
        <v>0.0242</v>
      </c>
      <c r="F196" s="7" t="n">
        <v>0.4301</v>
      </c>
      <c r="G196" s="8" t="n">
        <f aca="false">MIN(75, MAX(25, F196*100))</f>
        <v>43.01</v>
      </c>
      <c r="H196" s="9" t="n">
        <f aca="false">E196*G196*D196/100</f>
        <v>11610.5124692502</v>
      </c>
      <c r="I196" s="9" t="n">
        <f aca="false">E196*G196*D196/100</f>
        <v>11610.5124692502</v>
      </c>
      <c r="J196" s="9" t="n">
        <f aca="false">IF(B196=1, H196, I196)</f>
        <v>11610.5124692502</v>
      </c>
      <c r="K196" s="5" t="n">
        <v>11610.51</v>
      </c>
      <c r="L196" s="9" t="n">
        <f aca="false">J196-K196</f>
        <v>0.00246925019928312</v>
      </c>
    </row>
    <row r="197" customFormat="false" ht="15" hidden="false" customHeight="false" outlineLevel="0" collapsed="false">
      <c r="A197" s="4" t="s">
        <v>206</v>
      </c>
      <c r="B197" s="4" t="n">
        <v>1</v>
      </c>
      <c r="C197" s="5" t="n">
        <v>0</v>
      </c>
      <c r="D197" s="5" t="n">
        <v>0</v>
      </c>
      <c r="E197" s="6" t="n">
        <v>0.0253</v>
      </c>
      <c r="F197" s="7" t="n">
        <v>0.5673</v>
      </c>
      <c r="G197" s="8" t="n">
        <f aca="false">MIN(75, MAX(25, F197*100))</f>
        <v>56.73</v>
      </c>
      <c r="H197" s="9" t="n">
        <f aca="false">E197*G197*D197/100</f>
        <v>0</v>
      </c>
      <c r="I197" s="9" t="n">
        <f aca="false">E197*G197*D197/100</f>
        <v>0</v>
      </c>
      <c r="J197" s="9" t="n">
        <f aca="false">IF(B197=1, H197, I197)</f>
        <v>0</v>
      </c>
      <c r="K197" s="5" t="n">
        <v>0</v>
      </c>
      <c r="L197" s="9" t="n">
        <f aca="false">J197-K197</f>
        <v>0</v>
      </c>
    </row>
    <row r="198" customFormat="false" ht="15" hidden="false" customHeight="false" outlineLevel="0" collapsed="false">
      <c r="A198" s="4" t="s">
        <v>207</v>
      </c>
      <c r="B198" s="4" t="n">
        <v>1</v>
      </c>
      <c r="C198" s="5" t="n">
        <v>315376.06</v>
      </c>
      <c r="D198" s="5" t="n">
        <v>319260.65</v>
      </c>
      <c r="E198" s="6" t="n">
        <v>0.0205</v>
      </c>
      <c r="F198" s="7" t="n">
        <v>0.4925</v>
      </c>
      <c r="G198" s="8" t="n">
        <f aca="false">MIN(75, MAX(25, F198*100))</f>
        <v>49.25</v>
      </c>
      <c r="H198" s="9" t="n">
        <f aca="false">E198*G198*D198/100</f>
        <v>3223.3353375625</v>
      </c>
      <c r="I198" s="9" t="n">
        <f aca="false">E198*G198*D198/100</f>
        <v>3223.3353375625</v>
      </c>
      <c r="J198" s="9" t="n">
        <f aca="false">IF(B198=1, H198, I198)</f>
        <v>3223.3353375625</v>
      </c>
      <c r="K198" s="5" t="n">
        <v>3223.34</v>
      </c>
      <c r="L198" s="9" t="n">
        <f aca="false">J198-K198</f>
        <v>-0.004662437499519</v>
      </c>
    </row>
    <row r="199" customFormat="false" ht="15" hidden="false" customHeight="false" outlineLevel="0" collapsed="false">
      <c r="A199" s="4" t="s">
        <v>208</v>
      </c>
      <c r="B199" s="4" t="n">
        <v>2</v>
      </c>
      <c r="C199" s="5" t="n">
        <v>376710.69</v>
      </c>
      <c r="D199" s="5" t="n">
        <v>378219.31</v>
      </c>
      <c r="E199" s="6" t="n">
        <v>0.1408</v>
      </c>
      <c r="F199" s="7" t="n">
        <v>0.4322</v>
      </c>
      <c r="G199" s="8" t="n">
        <f aca="false">MIN(75, MAX(25, F199*100))</f>
        <v>43.22</v>
      </c>
      <c r="H199" s="9" t="n">
        <f aca="false">E199*G199*D199/100</f>
        <v>23016.0671181056</v>
      </c>
      <c r="I199" s="9" t="n">
        <f aca="false">E199*G199*D199/100</f>
        <v>23016.0671181056</v>
      </c>
      <c r="J199" s="9" t="n">
        <f aca="false">IF(B199=1, H199, I199)</f>
        <v>23016.0671181056</v>
      </c>
      <c r="K199" s="5" t="n">
        <v>23016.07</v>
      </c>
      <c r="L199" s="9" t="n">
        <f aca="false">J199-K199</f>
        <v>-0.00288189440107089</v>
      </c>
    </row>
    <row r="200" customFormat="false" ht="15" hidden="false" customHeight="false" outlineLevel="0" collapsed="false">
      <c r="A200" s="4" t="s">
        <v>209</v>
      </c>
      <c r="B200" s="4" t="n">
        <v>1</v>
      </c>
      <c r="C200" s="5" t="n">
        <v>272869.26</v>
      </c>
      <c r="D200" s="5" t="n">
        <v>283683.65</v>
      </c>
      <c r="E200" s="6" t="n">
        <v>0.0242</v>
      </c>
      <c r="F200" s="7" t="n">
        <v>0.5557</v>
      </c>
      <c r="G200" s="8" t="n">
        <f aca="false">MIN(75, MAX(25, F200*100))</f>
        <v>55.57</v>
      </c>
      <c r="H200" s="9" t="n">
        <f aca="false">E200*G200*D200/100</f>
        <v>3814.960704181</v>
      </c>
      <c r="I200" s="9" t="n">
        <f aca="false">E200*G200*D200/100</f>
        <v>3814.960704181</v>
      </c>
      <c r="J200" s="9" t="n">
        <f aca="false">IF(B200=1, H200, I200)</f>
        <v>3814.960704181</v>
      </c>
      <c r="K200" s="5" t="n">
        <v>3814.96</v>
      </c>
      <c r="L200" s="9" t="n">
        <f aca="false">J200-K200</f>
        <v>0.00070418100040115</v>
      </c>
    </row>
    <row r="201" customFormat="false" ht="15" hidden="false" customHeight="false" outlineLevel="0" collapsed="false">
      <c r="A201" s="4" t="s">
        <v>210</v>
      </c>
      <c r="B201" s="4" t="n">
        <v>1</v>
      </c>
      <c r="C201" s="5" t="n">
        <v>236176.21</v>
      </c>
      <c r="D201" s="5" t="n">
        <v>247040.19</v>
      </c>
      <c r="E201" s="6" t="n">
        <v>0.0226</v>
      </c>
      <c r="F201" s="7" t="n">
        <v>0.4805</v>
      </c>
      <c r="G201" s="8" t="n">
        <f aca="false">MIN(75, MAX(25, F201*100))</f>
        <v>48.05</v>
      </c>
      <c r="H201" s="9" t="n">
        <f aca="false">E201*G201*D201/100</f>
        <v>2682.683535267</v>
      </c>
      <c r="I201" s="9" t="n">
        <f aca="false">E201*G201*D201/100</f>
        <v>2682.683535267</v>
      </c>
      <c r="J201" s="9" t="n">
        <f aca="false">IF(B201=1, H201, I201)</f>
        <v>2682.683535267</v>
      </c>
      <c r="K201" s="5" t="n">
        <v>2682.68</v>
      </c>
      <c r="L201" s="9" t="n">
        <f aca="false">J201-K201</f>
        <v>0.00353526699973372</v>
      </c>
    </row>
    <row r="202" customFormat="false" ht="15" hidden="false" customHeight="false" outlineLevel="0" collapsed="false">
      <c r="A202" s="4" t="s">
        <v>211</v>
      </c>
      <c r="B202" s="4" t="n">
        <v>1</v>
      </c>
      <c r="C202" s="5" t="n">
        <v>317878.87</v>
      </c>
      <c r="D202" s="5" t="n">
        <v>329138.98</v>
      </c>
      <c r="E202" s="6" t="n">
        <v>0.0222</v>
      </c>
      <c r="F202" s="7" t="n">
        <v>0.564</v>
      </c>
      <c r="G202" s="8" t="n">
        <f aca="false">MIN(75, MAX(25, F202*100))</f>
        <v>56.4</v>
      </c>
      <c r="H202" s="9" t="n">
        <f aca="false">E202*G202*D202/100</f>
        <v>4121.083340784</v>
      </c>
      <c r="I202" s="9" t="n">
        <f aca="false">E202*G202*D202/100</f>
        <v>4121.083340784</v>
      </c>
      <c r="J202" s="9" t="n">
        <f aca="false">IF(B202=1, H202, I202)</f>
        <v>4121.083340784</v>
      </c>
      <c r="K202" s="5" t="n">
        <v>4121.08</v>
      </c>
      <c r="L202" s="9" t="n">
        <f aca="false">J202-K202</f>
        <v>0.00334078399919235</v>
      </c>
    </row>
    <row r="203" customFormat="false" ht="15" hidden="false" customHeight="false" outlineLevel="0" collapsed="false">
      <c r="A203" s="4" t="s">
        <v>212</v>
      </c>
      <c r="B203" s="4" t="n">
        <v>1</v>
      </c>
      <c r="C203" s="5" t="n">
        <v>216529.01</v>
      </c>
      <c r="D203" s="5" t="n">
        <v>217007.13</v>
      </c>
      <c r="E203" s="6" t="n">
        <v>0.0157</v>
      </c>
      <c r="F203" s="7" t="n">
        <v>0.3851</v>
      </c>
      <c r="G203" s="8" t="n">
        <f aca="false">MIN(75, MAX(25, F203*100))</f>
        <v>38.51</v>
      </c>
      <c r="H203" s="9" t="n">
        <f aca="false">E203*G203*D203/100</f>
        <v>1312.0402984791</v>
      </c>
      <c r="I203" s="9" t="n">
        <f aca="false">E203*G203*D203/100</f>
        <v>1312.0402984791</v>
      </c>
      <c r="J203" s="9" t="n">
        <f aca="false">IF(B203=1, H203, I203)</f>
        <v>1312.0402984791</v>
      </c>
      <c r="K203" s="5" t="n">
        <v>1312.04</v>
      </c>
      <c r="L203" s="9" t="n">
        <f aca="false">J203-K203</f>
        <v>0.000298479099910765</v>
      </c>
    </row>
    <row r="204" customFormat="false" ht="15" hidden="false" customHeight="false" outlineLevel="0" collapsed="false">
      <c r="A204" s="4" t="s">
        <v>213</v>
      </c>
      <c r="B204" s="4" t="n">
        <v>1</v>
      </c>
      <c r="C204" s="5" t="n">
        <v>794648.17</v>
      </c>
      <c r="D204" s="5" t="n">
        <v>823246.13</v>
      </c>
      <c r="E204" s="6" t="n">
        <v>0.0195</v>
      </c>
      <c r="F204" s="7" t="n">
        <v>0.3837</v>
      </c>
      <c r="G204" s="8" t="n">
        <f aca="false">MIN(75, MAX(25, F204*100))</f>
        <v>38.37</v>
      </c>
      <c r="H204" s="9" t="n">
        <f aca="false">E204*G204*D204/100</f>
        <v>6159.6510315795</v>
      </c>
      <c r="I204" s="9" t="n">
        <f aca="false">E204*G204*D204/100</f>
        <v>6159.6510315795</v>
      </c>
      <c r="J204" s="9" t="n">
        <f aca="false">IF(B204=1, H204, I204)</f>
        <v>6159.6510315795</v>
      </c>
      <c r="K204" s="5" t="n">
        <v>6159.65</v>
      </c>
      <c r="L204" s="9" t="n">
        <f aca="false">J204-K204</f>
        <v>0.00103157949979504</v>
      </c>
    </row>
    <row r="205" customFormat="false" ht="15" hidden="false" customHeight="false" outlineLevel="0" collapsed="false">
      <c r="A205" s="4" t="s">
        <v>214</v>
      </c>
      <c r="B205" s="4" t="n">
        <v>1</v>
      </c>
      <c r="C205" s="5" t="n">
        <v>606839.63</v>
      </c>
      <c r="D205" s="5" t="n">
        <v>620616.57</v>
      </c>
      <c r="E205" s="6" t="n">
        <v>0.024</v>
      </c>
      <c r="F205" s="7" t="n">
        <v>0.5479</v>
      </c>
      <c r="G205" s="8" t="n">
        <f aca="false">MIN(75, MAX(25, F205*100))</f>
        <v>54.79</v>
      </c>
      <c r="H205" s="9" t="n">
        <f aca="false">E205*G205*D205/100</f>
        <v>8160.859648872</v>
      </c>
      <c r="I205" s="9" t="n">
        <f aca="false">E205*G205*D205/100</f>
        <v>8160.859648872</v>
      </c>
      <c r="J205" s="9" t="n">
        <f aca="false">IF(B205=1, H205, I205)</f>
        <v>8160.859648872</v>
      </c>
      <c r="K205" s="5" t="n">
        <v>8160.86</v>
      </c>
      <c r="L205" s="9" t="n">
        <f aca="false">J205-K205</f>
        <v>-0.000351127999238088</v>
      </c>
    </row>
    <row r="206" customFormat="false" ht="15" hidden="false" customHeight="false" outlineLevel="0" collapsed="false">
      <c r="A206" s="4" t="s">
        <v>215</v>
      </c>
      <c r="B206" s="4" t="n">
        <v>1</v>
      </c>
      <c r="C206" s="5" t="n">
        <v>412871.86</v>
      </c>
      <c r="D206" s="5" t="n">
        <v>420283.82</v>
      </c>
      <c r="E206" s="6" t="n">
        <v>0.0248</v>
      </c>
      <c r="F206" s="7" t="n">
        <v>0.5311</v>
      </c>
      <c r="G206" s="8" t="n">
        <f aca="false">MIN(75, MAX(25, F206*100))</f>
        <v>53.11</v>
      </c>
      <c r="H206" s="9" t="n">
        <f aca="false">E206*G206*D206/100</f>
        <v>5535.6758726896</v>
      </c>
      <c r="I206" s="9" t="n">
        <f aca="false">E206*G206*D206/100</f>
        <v>5535.6758726896</v>
      </c>
      <c r="J206" s="9" t="n">
        <f aca="false">IF(B206=1, H206, I206)</f>
        <v>5535.6758726896</v>
      </c>
      <c r="K206" s="5" t="n">
        <v>5535.68</v>
      </c>
      <c r="L206" s="9" t="n">
        <f aca="false">J206-K206</f>
        <v>-0.00412731040069048</v>
      </c>
    </row>
    <row r="207" customFormat="false" ht="15" hidden="false" customHeight="false" outlineLevel="0" collapsed="false">
      <c r="A207" s="4" t="s">
        <v>216</v>
      </c>
      <c r="B207" s="4" t="n">
        <v>1</v>
      </c>
      <c r="C207" s="5" t="n">
        <v>1017192.61</v>
      </c>
      <c r="D207" s="5" t="n">
        <v>1019620.05</v>
      </c>
      <c r="E207" s="6" t="n">
        <v>0.0203</v>
      </c>
      <c r="F207" s="7" t="n">
        <v>0.4386</v>
      </c>
      <c r="G207" s="8" t="n">
        <f aca="false">MIN(75, MAX(25, F207*100))</f>
        <v>43.86</v>
      </c>
      <c r="H207" s="9" t="n">
        <f aca="false">E207*G207*D207/100</f>
        <v>9078.268684779</v>
      </c>
      <c r="I207" s="9" t="n">
        <f aca="false">E207*G207*D207/100</f>
        <v>9078.268684779</v>
      </c>
      <c r="J207" s="9" t="n">
        <f aca="false">IF(B207=1, H207, I207)</f>
        <v>9078.268684779</v>
      </c>
      <c r="K207" s="5" t="n">
        <v>9078.27</v>
      </c>
      <c r="L207" s="9" t="n">
        <f aca="false">J207-K207</f>
        <v>-0.00131522100127768</v>
      </c>
    </row>
    <row r="208" customFormat="false" ht="15" hidden="false" customHeight="false" outlineLevel="0" collapsed="false">
      <c r="A208" s="4" t="s">
        <v>217</v>
      </c>
      <c r="B208" s="4" t="n">
        <v>1</v>
      </c>
      <c r="C208" s="5" t="n">
        <v>577942.95</v>
      </c>
      <c r="D208" s="5" t="n">
        <v>595398.35</v>
      </c>
      <c r="E208" s="6" t="n">
        <v>0.0162</v>
      </c>
      <c r="F208" s="7" t="n">
        <v>0.5741</v>
      </c>
      <c r="G208" s="8" t="n">
        <f aca="false">MIN(75, MAX(25, F208*100))</f>
        <v>57.41</v>
      </c>
      <c r="H208" s="9" t="n">
        <f aca="false">E208*G208*D208/100</f>
        <v>5537.454722307</v>
      </c>
      <c r="I208" s="9" t="n">
        <f aca="false">E208*G208*D208/100</f>
        <v>5537.454722307</v>
      </c>
      <c r="J208" s="9" t="n">
        <f aca="false">IF(B208=1, H208, I208)</f>
        <v>5537.454722307</v>
      </c>
      <c r="K208" s="5" t="n">
        <v>5537.45</v>
      </c>
      <c r="L208" s="9" t="n">
        <f aca="false">J208-K208</f>
        <v>0.00472230699961074</v>
      </c>
    </row>
    <row r="209" customFormat="false" ht="15" hidden="false" customHeight="false" outlineLevel="0" collapsed="false">
      <c r="A209" s="4" t="s">
        <v>218</v>
      </c>
      <c r="B209" s="4" t="n">
        <v>1</v>
      </c>
      <c r="C209" s="5" t="n">
        <v>630614.81</v>
      </c>
      <c r="D209" s="5" t="n">
        <v>635852.24</v>
      </c>
      <c r="E209" s="6" t="n">
        <v>0.0197</v>
      </c>
      <c r="F209" s="7" t="n">
        <v>0.3565</v>
      </c>
      <c r="G209" s="8" t="n">
        <f aca="false">MIN(75, MAX(25, F209*100))</f>
        <v>35.65</v>
      </c>
      <c r="H209" s="9" t="n">
        <f aca="false">E209*G209*D209/100</f>
        <v>4465.622074132</v>
      </c>
      <c r="I209" s="9" t="n">
        <f aca="false">E209*G209*D209/100</f>
        <v>4465.622074132</v>
      </c>
      <c r="J209" s="9" t="n">
        <f aca="false">IF(B209=1, H209, I209)</f>
        <v>4465.622074132</v>
      </c>
      <c r="K209" s="5" t="n">
        <v>4465.62</v>
      </c>
      <c r="L209" s="9" t="n">
        <f aca="false">J209-K209</f>
        <v>0.00207413199950679</v>
      </c>
    </row>
    <row r="210" customFormat="false" ht="15" hidden="false" customHeight="false" outlineLevel="0" collapsed="false">
      <c r="A210" s="4" t="s">
        <v>219</v>
      </c>
      <c r="B210" s="4" t="n">
        <v>1</v>
      </c>
      <c r="C210" s="5" t="n">
        <v>886303.46</v>
      </c>
      <c r="D210" s="5" t="n">
        <v>905004.66</v>
      </c>
      <c r="E210" s="6" t="n">
        <v>0.0226</v>
      </c>
      <c r="F210" s="7" t="n">
        <v>0.5085</v>
      </c>
      <c r="G210" s="8" t="n">
        <f aca="false">MIN(75, MAX(25, F210*100))</f>
        <v>50.85</v>
      </c>
      <c r="H210" s="9" t="n">
        <f aca="false">E210*G210*D210/100</f>
        <v>10400.404053186</v>
      </c>
      <c r="I210" s="9" t="n">
        <f aca="false">E210*G210*D210/100</f>
        <v>10400.404053186</v>
      </c>
      <c r="J210" s="9" t="n">
        <f aca="false">IF(B210=1, H210, I210)</f>
        <v>10400.404053186</v>
      </c>
      <c r="K210" s="5" t="n">
        <v>10400.4</v>
      </c>
      <c r="L210" s="9" t="n">
        <f aca="false">J210-K210</f>
        <v>0.00405318599950988</v>
      </c>
    </row>
    <row r="211" customFormat="false" ht="15" hidden="false" customHeight="false" outlineLevel="0" collapsed="false">
      <c r="A211" s="4" t="s">
        <v>220</v>
      </c>
      <c r="B211" s="4" t="n">
        <v>1</v>
      </c>
      <c r="C211" s="5" t="n">
        <v>367278.61</v>
      </c>
      <c r="D211" s="5" t="n">
        <v>379528.39</v>
      </c>
      <c r="E211" s="6" t="n">
        <v>0.0174</v>
      </c>
      <c r="F211" s="7" t="n">
        <v>0.5748</v>
      </c>
      <c r="G211" s="8" t="n">
        <f aca="false">MIN(75, MAX(25, F211*100))</f>
        <v>57.48</v>
      </c>
      <c r="H211" s="9" t="n">
        <f aca="false">E211*G211*D211/100</f>
        <v>3795.8607831528</v>
      </c>
      <c r="I211" s="9" t="n">
        <f aca="false">E211*G211*D211/100</f>
        <v>3795.8607831528</v>
      </c>
      <c r="J211" s="9" t="n">
        <f aca="false">IF(B211=1, H211, I211)</f>
        <v>3795.8607831528</v>
      </c>
      <c r="K211" s="5" t="n">
        <v>3795.86</v>
      </c>
      <c r="L211" s="9" t="n">
        <f aca="false">J211-K211</f>
        <v>0.000783152799613163</v>
      </c>
    </row>
    <row r="212" customFormat="false" ht="15" hidden="false" customHeight="false" outlineLevel="0" collapsed="false">
      <c r="A212" s="4" t="s">
        <v>221</v>
      </c>
      <c r="B212" s="4" t="n">
        <v>1</v>
      </c>
      <c r="C212" s="5" t="n">
        <v>642958.41</v>
      </c>
      <c r="D212" s="5" t="n">
        <v>662385.06</v>
      </c>
      <c r="E212" s="6" t="n">
        <v>0.0242</v>
      </c>
      <c r="F212" s="7" t="n">
        <v>0.6121</v>
      </c>
      <c r="G212" s="8" t="n">
        <f aca="false">MIN(75, MAX(25, F212*100))</f>
        <v>61.21</v>
      </c>
      <c r="H212" s="9" t="n">
        <f aca="false">E212*G212*D212/100</f>
        <v>9811.7906644692</v>
      </c>
      <c r="I212" s="9" t="n">
        <f aca="false">E212*G212*D212/100</f>
        <v>9811.7906644692</v>
      </c>
      <c r="J212" s="9" t="n">
        <f aca="false">IF(B212=1, H212, I212)</f>
        <v>9811.7906644692</v>
      </c>
      <c r="K212" s="5" t="n">
        <v>9811.79</v>
      </c>
      <c r="L212" s="9" t="n">
        <f aca="false">J212-K212</f>
        <v>0.000664469200273743</v>
      </c>
    </row>
    <row r="213" customFormat="false" ht="15" hidden="false" customHeight="false" outlineLevel="0" collapsed="false">
      <c r="A213" s="4" t="s">
        <v>222</v>
      </c>
      <c r="B213" s="4" t="n">
        <v>1</v>
      </c>
      <c r="C213" s="5" t="n">
        <v>473909.33</v>
      </c>
      <c r="D213" s="5" t="n">
        <v>475928.99</v>
      </c>
      <c r="E213" s="6" t="n">
        <v>0.0181</v>
      </c>
      <c r="F213" s="7" t="n">
        <v>0.5015</v>
      </c>
      <c r="G213" s="8" t="n">
        <f aca="false">MIN(75, MAX(25, F213*100))</f>
        <v>50.15</v>
      </c>
      <c r="H213" s="9" t="n">
        <f aca="false">E213*G213*D213/100</f>
        <v>4320.0788315785</v>
      </c>
      <c r="I213" s="9" t="n">
        <f aca="false">E213*G213*D213/100</f>
        <v>4320.0788315785</v>
      </c>
      <c r="J213" s="9" t="n">
        <f aca="false">IF(B213=1, H213, I213)</f>
        <v>4320.0788315785</v>
      </c>
      <c r="K213" s="5" t="n">
        <v>4320.08</v>
      </c>
      <c r="L213" s="9" t="n">
        <f aca="false">J213-K213</f>
        <v>-0.00116842150055163</v>
      </c>
    </row>
    <row r="214" customFormat="false" ht="15" hidden="false" customHeight="false" outlineLevel="0" collapsed="false">
      <c r="A214" s="4" t="s">
        <v>223</v>
      </c>
      <c r="B214" s="4" t="n">
        <v>1</v>
      </c>
      <c r="C214" s="5" t="n">
        <v>1726721.59</v>
      </c>
      <c r="D214" s="5" t="n">
        <v>1787225.09</v>
      </c>
      <c r="E214" s="6" t="n">
        <v>0.019</v>
      </c>
      <c r="F214" s="7" t="n">
        <v>0.6157</v>
      </c>
      <c r="G214" s="8" t="n">
        <f aca="false">MIN(75, MAX(25, F214*100))</f>
        <v>61.57</v>
      </c>
      <c r="H214" s="9" t="n">
        <f aca="false">E214*G214*D214/100</f>
        <v>20907.495270347</v>
      </c>
      <c r="I214" s="9" t="n">
        <f aca="false">E214*G214*D214/100</f>
        <v>20907.495270347</v>
      </c>
      <c r="J214" s="9" t="n">
        <f aca="false">IF(B214=1, H214, I214)</f>
        <v>20907.495270347</v>
      </c>
      <c r="K214" s="5" t="n">
        <v>20907.5</v>
      </c>
      <c r="L214" s="9" t="n">
        <f aca="false">J214-K214</f>
        <v>-0.00472965299923089</v>
      </c>
    </row>
    <row r="215" customFormat="false" ht="15" hidden="false" customHeight="false" outlineLevel="0" collapsed="false">
      <c r="A215" s="4" t="s">
        <v>224</v>
      </c>
      <c r="B215" s="4" t="n">
        <v>1</v>
      </c>
      <c r="C215" s="5" t="n">
        <v>1564872.72</v>
      </c>
      <c r="D215" s="5" t="n">
        <v>1577393.84</v>
      </c>
      <c r="E215" s="6" t="n">
        <v>0.0203</v>
      </c>
      <c r="F215" s="7" t="n">
        <v>0.5771</v>
      </c>
      <c r="G215" s="8" t="n">
        <f aca="false">MIN(75, MAX(25, F215*100))</f>
        <v>57.71</v>
      </c>
      <c r="H215" s="9" t="n">
        <f aca="false">E215*G215*D215/100</f>
        <v>18479.3738967992</v>
      </c>
      <c r="I215" s="9" t="n">
        <f aca="false">E215*G215*D215/100</f>
        <v>18479.3738967992</v>
      </c>
      <c r="J215" s="9" t="n">
        <f aca="false">IF(B215=1, H215, I215)</f>
        <v>18479.3738967992</v>
      </c>
      <c r="K215" s="5" t="n">
        <v>18479.37</v>
      </c>
      <c r="L215" s="9" t="n">
        <f aca="false">J215-K215</f>
        <v>0.0038967991968093</v>
      </c>
    </row>
    <row r="216" customFormat="false" ht="15" hidden="false" customHeight="false" outlineLevel="0" collapsed="false">
      <c r="A216" s="4" t="s">
        <v>225</v>
      </c>
      <c r="B216" s="4" t="n">
        <v>1</v>
      </c>
      <c r="C216" s="5" t="n">
        <v>798352.84</v>
      </c>
      <c r="D216" s="5" t="n">
        <v>806039.19</v>
      </c>
      <c r="E216" s="6" t="n">
        <v>0.0153</v>
      </c>
      <c r="F216" s="7" t="n">
        <v>0.5049</v>
      </c>
      <c r="G216" s="8" t="n">
        <f aca="false">MIN(75, MAX(25, F216*100))</f>
        <v>50.49</v>
      </c>
      <c r="H216" s="9" t="n">
        <f aca="false">E216*G216*D216/100</f>
        <v>6226.6285615743</v>
      </c>
      <c r="I216" s="9" t="n">
        <f aca="false">E216*G216*D216/100</f>
        <v>6226.6285615743</v>
      </c>
      <c r="J216" s="9" t="n">
        <f aca="false">IF(B216=1, H216, I216)</f>
        <v>6226.6285615743</v>
      </c>
      <c r="K216" s="5" t="n">
        <v>6226.63</v>
      </c>
      <c r="L216" s="9" t="n">
        <f aca="false">J216-K216</f>
        <v>-0.00143842570014385</v>
      </c>
    </row>
    <row r="217" customFormat="false" ht="15" hidden="false" customHeight="false" outlineLevel="0" collapsed="false">
      <c r="A217" s="4" t="s">
        <v>226</v>
      </c>
      <c r="B217" s="4" t="n">
        <v>1</v>
      </c>
      <c r="C217" s="5" t="n">
        <v>356220.96</v>
      </c>
      <c r="D217" s="5" t="n">
        <v>373035.83</v>
      </c>
      <c r="E217" s="6" t="n">
        <v>0.0197</v>
      </c>
      <c r="F217" s="7" t="n">
        <v>0.5739</v>
      </c>
      <c r="G217" s="8" t="n">
        <f aca="false">MIN(75, MAX(25, F217*100))</f>
        <v>57.39</v>
      </c>
      <c r="H217" s="9" t="n">
        <f aca="false">E217*G217*D217/100</f>
        <v>4217.4796778889</v>
      </c>
      <c r="I217" s="9" t="n">
        <f aca="false">E217*G217*D217/100</f>
        <v>4217.4796778889</v>
      </c>
      <c r="J217" s="9" t="n">
        <f aca="false">IF(B217=1, H217, I217)</f>
        <v>4217.4796778889</v>
      </c>
      <c r="K217" s="5" t="n">
        <v>4217.48</v>
      </c>
      <c r="L217" s="9" t="n">
        <f aca="false">J217-K217</f>
        <v>-0.000322111099194444</v>
      </c>
    </row>
    <row r="218" customFormat="false" ht="15" hidden="false" customHeight="false" outlineLevel="0" collapsed="false">
      <c r="A218" s="4" t="s">
        <v>227</v>
      </c>
      <c r="B218" s="4" t="n">
        <v>1</v>
      </c>
      <c r="C218" s="5" t="n">
        <v>143956.4</v>
      </c>
      <c r="D218" s="5" t="n">
        <v>147377</v>
      </c>
      <c r="E218" s="6" t="n">
        <v>0.0248</v>
      </c>
      <c r="F218" s="7" t="n">
        <v>0.5844</v>
      </c>
      <c r="G218" s="8" t="n">
        <f aca="false">MIN(75, MAX(25, F218*100))</f>
        <v>58.44</v>
      </c>
      <c r="H218" s="9" t="n">
        <f aca="false">E218*G218*D218/100</f>
        <v>2135.95254624</v>
      </c>
      <c r="I218" s="9" t="n">
        <f aca="false">E218*G218*D218/100</f>
        <v>2135.95254624</v>
      </c>
      <c r="J218" s="9" t="n">
        <f aca="false">IF(B218=1, H218, I218)</f>
        <v>2135.95254624</v>
      </c>
      <c r="K218" s="5" t="n">
        <v>2135.95</v>
      </c>
      <c r="L218" s="9" t="n">
        <f aca="false">J218-K218</f>
        <v>0.00254624000035619</v>
      </c>
    </row>
    <row r="219" customFormat="false" ht="15" hidden="false" customHeight="false" outlineLevel="0" collapsed="false">
      <c r="A219" s="4" t="s">
        <v>228</v>
      </c>
      <c r="B219" s="4" t="n">
        <v>1</v>
      </c>
      <c r="C219" s="5" t="n">
        <v>787256.65</v>
      </c>
      <c r="D219" s="5" t="n">
        <v>809963.32</v>
      </c>
      <c r="E219" s="6" t="n">
        <v>0.0163</v>
      </c>
      <c r="F219" s="7" t="n">
        <v>0.5356</v>
      </c>
      <c r="G219" s="8" t="n">
        <f aca="false">MIN(75, MAX(25, F219*100))</f>
        <v>53.56</v>
      </c>
      <c r="H219" s="9" t="n">
        <f aca="false">E219*G219*D219/100</f>
        <v>7071.2065733296</v>
      </c>
      <c r="I219" s="9" t="n">
        <f aca="false">E219*G219*D219/100</f>
        <v>7071.2065733296</v>
      </c>
      <c r="J219" s="9" t="n">
        <f aca="false">IF(B219=1, H219, I219)</f>
        <v>7071.2065733296</v>
      </c>
      <c r="K219" s="5" t="n">
        <v>7071.21</v>
      </c>
      <c r="L219" s="9" t="n">
        <f aca="false">J219-K219</f>
        <v>-0.00342667040149536</v>
      </c>
    </row>
    <row r="220" customFormat="false" ht="15" hidden="false" customHeight="false" outlineLevel="0" collapsed="false">
      <c r="A220" s="4" t="s">
        <v>229</v>
      </c>
      <c r="B220" s="4" t="n">
        <v>1</v>
      </c>
      <c r="C220" s="5" t="n">
        <v>1145675.31</v>
      </c>
      <c r="D220" s="5" t="n">
        <v>1189686.7</v>
      </c>
      <c r="E220" s="6" t="n">
        <v>0.0174</v>
      </c>
      <c r="F220" s="7" t="n">
        <v>0.4048</v>
      </c>
      <c r="G220" s="8" t="n">
        <f aca="false">MIN(75, MAX(25, F220*100))</f>
        <v>40.48</v>
      </c>
      <c r="H220" s="9" t="n">
        <f aca="false">E220*G220*D220/100</f>
        <v>8379.582065184</v>
      </c>
      <c r="I220" s="9" t="n">
        <f aca="false">E220*G220*D220/100</f>
        <v>8379.582065184</v>
      </c>
      <c r="J220" s="9" t="n">
        <f aca="false">IF(B220=1, H220, I220)</f>
        <v>8379.582065184</v>
      </c>
      <c r="K220" s="5" t="n">
        <v>8379.58</v>
      </c>
      <c r="L220" s="9" t="n">
        <f aca="false">J220-K220</f>
        <v>0.00206518399681954</v>
      </c>
    </row>
    <row r="221" customFormat="false" ht="15" hidden="false" customHeight="false" outlineLevel="0" collapsed="false">
      <c r="A221" s="4" t="s">
        <v>230</v>
      </c>
      <c r="B221" s="4" t="n">
        <v>3</v>
      </c>
      <c r="C221" s="5" t="n">
        <v>825671.85</v>
      </c>
      <c r="D221" s="5" t="n">
        <v>829862.52</v>
      </c>
      <c r="E221" s="6" t="n">
        <v>0.8776</v>
      </c>
      <c r="F221" s="7" t="n">
        <v>0.5259</v>
      </c>
      <c r="G221" s="8" t="n">
        <f aca="false">MIN(75, MAX(25, F221*100))</f>
        <v>52.59</v>
      </c>
      <c r="H221" s="9" t="n">
        <f aca="false">E221*G221*D221/100</f>
        <v>383006.316077597</v>
      </c>
      <c r="I221" s="9" t="n">
        <f aca="false">E221*G221*D221/100</f>
        <v>383006.316077597</v>
      </c>
      <c r="J221" s="9" t="n">
        <f aca="false">IF(B221=1, H221, I221)</f>
        <v>383006.316077597</v>
      </c>
      <c r="K221" s="5" t="n">
        <v>383006.32</v>
      </c>
      <c r="L221" s="9" t="n">
        <f aca="false">J221-K221</f>
        <v>-0.00392240314977244</v>
      </c>
    </row>
    <row r="222" customFormat="false" ht="15" hidden="false" customHeight="false" outlineLevel="0" collapsed="false">
      <c r="A222" s="4" t="s">
        <v>231</v>
      </c>
      <c r="B222" s="4" t="n">
        <v>1</v>
      </c>
      <c r="C222" s="5" t="n">
        <v>958534.27</v>
      </c>
      <c r="D222" s="5" t="n">
        <v>985520.92</v>
      </c>
      <c r="E222" s="6" t="n">
        <v>0.0145</v>
      </c>
      <c r="F222" s="7" t="n">
        <v>0.5718</v>
      </c>
      <c r="G222" s="8" t="n">
        <f aca="false">MIN(75, MAX(25, F222*100))</f>
        <v>57.18</v>
      </c>
      <c r="H222" s="9" t="n">
        <f aca="false">E222*G222*D222/100</f>
        <v>8171.052499812</v>
      </c>
      <c r="I222" s="9" t="n">
        <f aca="false">E222*G222*D222/100</f>
        <v>8171.052499812</v>
      </c>
      <c r="J222" s="9" t="n">
        <f aca="false">IF(B222=1, H222, I222)</f>
        <v>8171.052499812</v>
      </c>
      <c r="K222" s="5" t="n">
        <v>8171.05</v>
      </c>
      <c r="L222" s="9" t="n">
        <f aca="false">J222-K222</f>
        <v>0.0024998120006785</v>
      </c>
    </row>
    <row r="223" customFormat="false" ht="15" hidden="false" customHeight="false" outlineLevel="0" collapsed="false">
      <c r="A223" s="4" t="s">
        <v>232</v>
      </c>
      <c r="B223" s="4" t="n">
        <v>1</v>
      </c>
      <c r="C223" s="5" t="n">
        <v>2189062.13</v>
      </c>
      <c r="D223" s="5" t="n">
        <v>2275235.13</v>
      </c>
      <c r="E223" s="6" t="n">
        <v>0.0231</v>
      </c>
      <c r="F223" s="7" t="n">
        <v>0.5114</v>
      </c>
      <c r="G223" s="8" t="n">
        <f aca="false">MIN(75, MAX(25, F223*100))</f>
        <v>51.14</v>
      </c>
      <c r="H223" s="9" t="n">
        <f aca="false">E223*G223*D223/100</f>
        <v>26878.1261706342</v>
      </c>
      <c r="I223" s="9" t="n">
        <f aca="false">E223*G223*D223/100</f>
        <v>26878.1261706342</v>
      </c>
      <c r="J223" s="9" t="n">
        <f aca="false">IF(B223=1, H223, I223)</f>
        <v>26878.1261706342</v>
      </c>
      <c r="K223" s="5" t="n">
        <v>26878.13</v>
      </c>
      <c r="L223" s="9" t="n">
        <f aca="false">J223-K223</f>
        <v>-0.00382936580717796</v>
      </c>
    </row>
    <row r="224" customFormat="false" ht="15" hidden="false" customHeight="false" outlineLevel="0" collapsed="false">
      <c r="A224" s="4" t="s">
        <v>233</v>
      </c>
      <c r="B224" s="4" t="n">
        <v>1</v>
      </c>
      <c r="C224" s="5" t="n">
        <v>583206.89</v>
      </c>
      <c r="D224" s="5" t="n">
        <v>601823.91</v>
      </c>
      <c r="E224" s="6" t="n">
        <v>0.0141</v>
      </c>
      <c r="F224" s="7" t="n">
        <v>0.6453</v>
      </c>
      <c r="G224" s="8" t="n">
        <f aca="false">MIN(75, MAX(25, F224*100))</f>
        <v>64.53</v>
      </c>
      <c r="H224" s="9" t="n">
        <f aca="false">E224*G224*D224/100</f>
        <v>5475.8332646343</v>
      </c>
      <c r="I224" s="9" t="n">
        <f aca="false">E224*G224*D224/100</f>
        <v>5475.8332646343</v>
      </c>
      <c r="J224" s="9" t="n">
        <f aca="false">IF(B224=1, H224, I224)</f>
        <v>5475.8332646343</v>
      </c>
      <c r="K224" s="5" t="n">
        <v>5475.83</v>
      </c>
      <c r="L224" s="9" t="n">
        <f aca="false">J224-K224</f>
        <v>0.00326463430064905</v>
      </c>
    </row>
    <row r="225" customFormat="false" ht="15" hidden="false" customHeight="false" outlineLevel="0" collapsed="false">
      <c r="A225" s="4" t="s">
        <v>234</v>
      </c>
      <c r="B225" s="4" t="n">
        <v>1</v>
      </c>
      <c r="C225" s="5" t="n">
        <v>247796.7</v>
      </c>
      <c r="D225" s="5" t="n">
        <v>254393.18</v>
      </c>
      <c r="E225" s="6" t="n">
        <v>0.0146</v>
      </c>
      <c r="F225" s="7" t="n">
        <v>0.6255</v>
      </c>
      <c r="G225" s="8" t="n">
        <f aca="false">MIN(75, MAX(25, F225*100))</f>
        <v>62.55</v>
      </c>
      <c r="H225" s="9" t="n">
        <f aca="false">E225*G225*D225/100</f>
        <v>2323.194837714</v>
      </c>
      <c r="I225" s="9" t="n">
        <f aca="false">E225*G225*D225/100</f>
        <v>2323.194837714</v>
      </c>
      <c r="J225" s="9" t="n">
        <f aca="false">IF(B225=1, H225, I225)</f>
        <v>2323.194837714</v>
      </c>
      <c r="K225" s="5" t="n">
        <v>2323.19</v>
      </c>
      <c r="L225" s="9" t="n">
        <f aca="false">J225-K225</f>
        <v>0.00483771400013211</v>
      </c>
    </row>
    <row r="226" customFormat="false" ht="15" hidden="false" customHeight="false" outlineLevel="0" collapsed="false">
      <c r="A226" s="4" t="s">
        <v>235</v>
      </c>
      <c r="B226" s="4" t="n">
        <v>1</v>
      </c>
      <c r="C226" s="5" t="n">
        <v>94597.89</v>
      </c>
      <c r="D226" s="5" t="n">
        <v>94884.93</v>
      </c>
      <c r="E226" s="6" t="n">
        <v>0.0209</v>
      </c>
      <c r="F226" s="7" t="n">
        <v>0.3757</v>
      </c>
      <c r="G226" s="8" t="n">
        <f aca="false">MIN(75, MAX(25, F226*100))</f>
        <v>37.57</v>
      </c>
      <c r="H226" s="9" t="n">
        <f aca="false">E226*G226*D226/100</f>
        <v>745.0488054009</v>
      </c>
      <c r="I226" s="9" t="n">
        <f aca="false">E226*G226*D226/100</f>
        <v>745.0488054009</v>
      </c>
      <c r="J226" s="9" t="n">
        <f aca="false">IF(B226=1, H226, I226)</f>
        <v>745.0488054009</v>
      </c>
      <c r="K226" s="5" t="n">
        <v>745.05</v>
      </c>
      <c r="L226" s="9" t="n">
        <f aca="false">J226-K226</f>
        <v>-0.0011945991001312</v>
      </c>
    </row>
    <row r="227" customFormat="false" ht="15" hidden="false" customHeight="false" outlineLevel="0" collapsed="false">
      <c r="A227" s="4" t="s">
        <v>236</v>
      </c>
      <c r="B227" s="4" t="n">
        <v>1</v>
      </c>
      <c r="C227" s="5" t="n">
        <v>680975.94</v>
      </c>
      <c r="D227" s="5" t="n">
        <v>687529.7</v>
      </c>
      <c r="E227" s="6" t="n">
        <v>0.0194</v>
      </c>
      <c r="F227" s="7" t="n">
        <v>0.4485</v>
      </c>
      <c r="G227" s="8" t="n">
        <f aca="false">MIN(75, MAX(25, F227*100))</f>
        <v>44.85</v>
      </c>
      <c r="H227" s="9" t="n">
        <f aca="false">E227*G227*D227/100</f>
        <v>5982.12716673</v>
      </c>
      <c r="I227" s="9" t="n">
        <f aca="false">E227*G227*D227/100</f>
        <v>5982.12716673</v>
      </c>
      <c r="J227" s="9" t="n">
        <f aca="false">IF(B227=1, H227, I227)</f>
        <v>5982.12716673</v>
      </c>
      <c r="K227" s="5" t="n">
        <v>5982.13</v>
      </c>
      <c r="L227" s="9" t="n">
        <f aca="false">J227-K227</f>
        <v>-0.00283327000033751</v>
      </c>
    </row>
    <row r="228" customFormat="false" ht="15" hidden="false" customHeight="false" outlineLevel="0" collapsed="false">
      <c r="A228" s="4" t="s">
        <v>237</v>
      </c>
      <c r="B228" s="4" t="n">
        <v>2</v>
      </c>
      <c r="C228" s="5" t="n">
        <v>432670.47</v>
      </c>
      <c r="D228" s="5" t="n">
        <v>450738.25</v>
      </c>
      <c r="E228" s="6" t="n">
        <v>0.0881</v>
      </c>
      <c r="F228" s="7" t="n">
        <v>0.5021</v>
      </c>
      <c r="G228" s="8" t="n">
        <f aca="false">MIN(75, MAX(25, F228*100))</f>
        <v>50.21</v>
      </c>
      <c r="H228" s="9" t="n">
        <f aca="false">E228*G228*D228/100</f>
        <v>19938.4109961325</v>
      </c>
      <c r="I228" s="9" t="n">
        <f aca="false">E228*G228*D228/100</f>
        <v>19938.4109961325</v>
      </c>
      <c r="J228" s="9" t="n">
        <f aca="false">IF(B228=1, H228, I228)</f>
        <v>19938.4109961325</v>
      </c>
      <c r="K228" s="5" t="n">
        <v>19938.41</v>
      </c>
      <c r="L228" s="9" t="n">
        <f aca="false">J228-K228</f>
        <v>0.000996132501313696</v>
      </c>
    </row>
    <row r="229" customFormat="false" ht="15" hidden="false" customHeight="false" outlineLevel="0" collapsed="false">
      <c r="A229" s="4" t="s">
        <v>238</v>
      </c>
      <c r="B229" s="4" t="n">
        <v>1</v>
      </c>
      <c r="C229" s="5" t="n">
        <v>1214767.86</v>
      </c>
      <c r="D229" s="5" t="n">
        <v>1274891.46</v>
      </c>
      <c r="E229" s="6" t="n">
        <v>0.0165</v>
      </c>
      <c r="F229" s="7" t="n">
        <v>0.4053</v>
      </c>
      <c r="G229" s="8" t="n">
        <f aca="false">MIN(75, MAX(25, F229*100))</f>
        <v>40.53</v>
      </c>
      <c r="H229" s="9" t="n">
        <f aca="false">E229*G229*D229/100</f>
        <v>8525.772894177</v>
      </c>
      <c r="I229" s="9" t="n">
        <f aca="false">E229*G229*D229/100</f>
        <v>8525.772894177</v>
      </c>
      <c r="J229" s="9" t="n">
        <f aca="false">IF(B229=1, H229, I229)</f>
        <v>8525.772894177</v>
      </c>
      <c r="K229" s="5" t="n">
        <v>8525.77</v>
      </c>
      <c r="L229" s="9" t="n">
        <f aca="false">J229-K229</f>
        <v>0.00289417699968908</v>
      </c>
    </row>
    <row r="230" customFormat="false" ht="15" hidden="false" customHeight="false" outlineLevel="0" collapsed="false">
      <c r="A230" s="4" t="s">
        <v>239</v>
      </c>
      <c r="B230" s="4" t="n">
        <v>1</v>
      </c>
      <c r="C230" s="5" t="n">
        <v>192550.59</v>
      </c>
      <c r="D230" s="5" t="n">
        <v>202155.93</v>
      </c>
      <c r="E230" s="6" t="n">
        <v>0.0253</v>
      </c>
      <c r="F230" s="7" t="n">
        <v>0.6431</v>
      </c>
      <c r="G230" s="8" t="n">
        <f aca="false">MIN(75, MAX(25, F230*100))</f>
        <v>64.31</v>
      </c>
      <c r="H230" s="9" t="n">
        <f aca="false">E230*G230*D230/100</f>
        <v>3289.1639081499</v>
      </c>
      <c r="I230" s="9" t="n">
        <f aca="false">E230*G230*D230/100</f>
        <v>3289.1639081499</v>
      </c>
      <c r="J230" s="9" t="n">
        <f aca="false">IF(B230=1, H230, I230)</f>
        <v>3289.1639081499</v>
      </c>
      <c r="K230" s="5" t="n">
        <v>3289.16</v>
      </c>
      <c r="L230" s="9" t="n">
        <f aca="false">J230-K230</f>
        <v>0.00390814989987121</v>
      </c>
    </row>
    <row r="231" customFormat="false" ht="15" hidden="false" customHeight="false" outlineLevel="0" collapsed="false">
      <c r="A231" s="4" t="s">
        <v>240</v>
      </c>
      <c r="B231" s="4" t="n">
        <v>1</v>
      </c>
      <c r="C231" s="5" t="n">
        <v>289229.56</v>
      </c>
      <c r="D231" s="5" t="n">
        <v>301990.69</v>
      </c>
      <c r="E231" s="6" t="n">
        <v>0.016</v>
      </c>
      <c r="F231" s="7" t="n">
        <v>0.4664</v>
      </c>
      <c r="G231" s="8" t="n">
        <f aca="false">MIN(75, MAX(25, F231*100))</f>
        <v>46.64</v>
      </c>
      <c r="H231" s="9" t="n">
        <f aca="false">E231*G231*D231/100</f>
        <v>2253.575325056</v>
      </c>
      <c r="I231" s="9" t="n">
        <f aca="false">E231*G231*D231/100</f>
        <v>2253.575325056</v>
      </c>
      <c r="J231" s="9" t="n">
        <f aca="false">IF(B231=1, H231, I231)</f>
        <v>2253.575325056</v>
      </c>
      <c r="K231" s="5" t="n">
        <v>2253.58</v>
      </c>
      <c r="L231" s="9" t="n">
        <f aca="false">J231-K231</f>
        <v>-0.00467494399981661</v>
      </c>
    </row>
    <row r="232" customFormat="false" ht="15" hidden="false" customHeight="false" outlineLevel="0" collapsed="false">
      <c r="A232" s="4" t="s">
        <v>241</v>
      </c>
      <c r="B232" s="4" t="n">
        <v>2</v>
      </c>
      <c r="C232" s="5" t="n">
        <v>926047.67</v>
      </c>
      <c r="D232" s="5" t="n">
        <v>944983.16</v>
      </c>
      <c r="E232" s="6" t="n">
        <v>0.1147</v>
      </c>
      <c r="F232" s="7" t="n">
        <v>0.4903</v>
      </c>
      <c r="G232" s="8" t="n">
        <f aca="false">MIN(75, MAX(25, F232*100))</f>
        <v>49.03</v>
      </c>
      <c r="H232" s="9" t="n">
        <f aca="false">E232*G232*D232/100</f>
        <v>53143.4054120156</v>
      </c>
      <c r="I232" s="9" t="n">
        <f aca="false">E232*G232*D232/100</f>
        <v>53143.4054120156</v>
      </c>
      <c r="J232" s="9" t="n">
        <f aca="false">IF(B232=1, H232, I232)</f>
        <v>53143.4054120156</v>
      </c>
      <c r="K232" s="5" t="n">
        <v>53143.41</v>
      </c>
      <c r="L232" s="9" t="n">
        <f aca="false">J232-K232</f>
        <v>-0.00458798440376995</v>
      </c>
    </row>
    <row r="233" customFormat="false" ht="15" hidden="false" customHeight="false" outlineLevel="0" collapsed="false">
      <c r="A233" s="4" t="s">
        <v>242</v>
      </c>
      <c r="B233" s="4" t="n">
        <v>1</v>
      </c>
      <c r="C233" s="5" t="n">
        <v>2352004.08</v>
      </c>
      <c r="D233" s="5" t="n">
        <v>2448707.77</v>
      </c>
      <c r="E233" s="6" t="n">
        <v>0.0141</v>
      </c>
      <c r="F233" s="7" t="n">
        <v>0.4398</v>
      </c>
      <c r="G233" s="8" t="n">
        <f aca="false">MIN(75, MAX(25, F233*100))</f>
        <v>43.98</v>
      </c>
      <c r="H233" s="9" t="n">
        <f aca="false">E233*G233*D233/100</f>
        <v>15184.8776491686</v>
      </c>
      <c r="I233" s="9" t="n">
        <f aca="false">E233*G233*D233/100</f>
        <v>15184.8776491686</v>
      </c>
      <c r="J233" s="9" t="n">
        <f aca="false">IF(B233=1, H233, I233)</f>
        <v>15184.8776491686</v>
      </c>
      <c r="K233" s="5" t="n">
        <v>15184.88</v>
      </c>
      <c r="L233" s="9" t="n">
        <f aca="false">J233-K233</f>
        <v>-0.00235083139705239</v>
      </c>
    </row>
    <row r="234" customFormat="false" ht="15" hidden="false" customHeight="false" outlineLevel="0" collapsed="false">
      <c r="A234" s="4" t="s">
        <v>243</v>
      </c>
      <c r="B234" s="4" t="n">
        <v>1</v>
      </c>
      <c r="C234" s="5" t="n">
        <v>864584.46</v>
      </c>
      <c r="D234" s="5" t="n">
        <v>879274.71</v>
      </c>
      <c r="E234" s="6" t="n">
        <v>0.0237</v>
      </c>
      <c r="F234" s="7" t="n">
        <v>0.6003</v>
      </c>
      <c r="G234" s="8" t="n">
        <f aca="false">MIN(75, MAX(25, F234*100))</f>
        <v>60.03</v>
      </c>
      <c r="H234" s="9" t="n">
        <f aca="false">E234*G234*D234/100</f>
        <v>12509.5380193881</v>
      </c>
      <c r="I234" s="9" t="n">
        <f aca="false">E234*G234*D234/100</f>
        <v>12509.5380193881</v>
      </c>
      <c r="J234" s="9" t="n">
        <f aca="false">IF(B234=1, H234, I234)</f>
        <v>12509.5380193881</v>
      </c>
      <c r="K234" s="5" t="n">
        <v>12509.54</v>
      </c>
      <c r="L234" s="9" t="n">
        <f aca="false">J234-K234</f>
        <v>-0.00198061190349108</v>
      </c>
    </row>
    <row r="235" customFormat="false" ht="15" hidden="false" customHeight="false" outlineLevel="0" collapsed="false">
      <c r="A235" s="4" t="s">
        <v>244</v>
      </c>
      <c r="B235" s="4" t="n">
        <v>1</v>
      </c>
      <c r="C235" s="5" t="n">
        <v>1715799.71</v>
      </c>
      <c r="D235" s="5" t="n">
        <v>1757717.84</v>
      </c>
      <c r="E235" s="6" t="n">
        <v>0.0144</v>
      </c>
      <c r="F235" s="7" t="n">
        <v>0.5567</v>
      </c>
      <c r="G235" s="8" t="n">
        <f aca="false">MIN(75, MAX(25, F235*100))</f>
        <v>55.67</v>
      </c>
      <c r="H235" s="9" t="n">
        <f aca="false">E235*G235*D235/100</f>
        <v>14090.7099100032</v>
      </c>
      <c r="I235" s="9" t="n">
        <f aca="false">E235*G235*D235/100</f>
        <v>14090.7099100032</v>
      </c>
      <c r="J235" s="9" t="n">
        <f aca="false">IF(B235=1, H235, I235)</f>
        <v>14090.7099100032</v>
      </c>
      <c r="K235" s="5" t="n">
        <v>14090.71</v>
      </c>
      <c r="L235" s="9" t="n">
        <f aca="false">J235-K235</f>
        <v>-8.99967999430373E-005</v>
      </c>
    </row>
    <row r="236" customFormat="false" ht="15" hidden="false" customHeight="false" outlineLevel="0" collapsed="false">
      <c r="A236" s="4" t="s">
        <v>245</v>
      </c>
      <c r="B236" s="4" t="n">
        <v>1</v>
      </c>
      <c r="C236" s="5" t="n">
        <v>194483.27</v>
      </c>
      <c r="D236" s="5" t="n">
        <v>195870.83</v>
      </c>
      <c r="E236" s="6" t="n">
        <v>0.0173</v>
      </c>
      <c r="F236" s="7" t="n">
        <v>0.3522</v>
      </c>
      <c r="G236" s="8" t="n">
        <f aca="false">MIN(75, MAX(25, F236*100))</f>
        <v>35.22</v>
      </c>
      <c r="H236" s="9" t="n">
        <f aca="false">E236*G236*D236/100</f>
        <v>1193.4527194398</v>
      </c>
      <c r="I236" s="9" t="n">
        <f aca="false">E236*G236*D236/100</f>
        <v>1193.4527194398</v>
      </c>
      <c r="J236" s="9" t="n">
        <f aca="false">IF(B236=1, H236, I236)</f>
        <v>1193.4527194398</v>
      </c>
      <c r="K236" s="5" t="n">
        <v>1193.45</v>
      </c>
      <c r="L236" s="9" t="n">
        <f aca="false">J236-K236</f>
        <v>0.00271943979987555</v>
      </c>
    </row>
    <row r="237" customFormat="false" ht="15" hidden="false" customHeight="false" outlineLevel="0" collapsed="false">
      <c r="A237" s="4" t="s">
        <v>246</v>
      </c>
      <c r="B237" s="4" t="n">
        <v>2</v>
      </c>
      <c r="C237" s="5" t="n">
        <v>1404616.63</v>
      </c>
      <c r="D237" s="5" t="n">
        <v>1458122.75</v>
      </c>
      <c r="E237" s="6" t="n">
        <v>0.1494</v>
      </c>
      <c r="F237" s="7" t="n">
        <v>0.4734</v>
      </c>
      <c r="G237" s="8" t="n">
        <f aca="false">MIN(75, MAX(25, F237*100))</f>
        <v>47.34</v>
      </c>
      <c r="H237" s="9" t="n">
        <f aca="false">E237*G237*D237/100</f>
        <v>103127.13129159</v>
      </c>
      <c r="I237" s="9" t="n">
        <f aca="false">E237*G237*D237/100</f>
        <v>103127.13129159</v>
      </c>
      <c r="J237" s="9" t="n">
        <f aca="false">IF(B237=1, H237, I237)</f>
        <v>103127.13129159</v>
      </c>
      <c r="K237" s="5" t="n">
        <v>103127.13</v>
      </c>
      <c r="L237" s="9" t="n">
        <f aca="false">J237-K237</f>
        <v>0.00129158998606727</v>
      </c>
    </row>
    <row r="238" customFormat="false" ht="15" hidden="false" customHeight="false" outlineLevel="0" collapsed="false">
      <c r="A238" s="4" t="s">
        <v>247</v>
      </c>
      <c r="B238" s="4" t="n">
        <v>1</v>
      </c>
      <c r="C238" s="5" t="n">
        <v>383558.27</v>
      </c>
      <c r="D238" s="5" t="n">
        <v>386652.94</v>
      </c>
      <c r="E238" s="6" t="n">
        <v>0.0196</v>
      </c>
      <c r="F238" s="7" t="n">
        <v>0.4337</v>
      </c>
      <c r="G238" s="8" t="n">
        <f aca="false">MIN(75, MAX(25, F238*100))</f>
        <v>43.37</v>
      </c>
      <c r="H238" s="9" t="n">
        <f aca="false">E238*G238*D238/100</f>
        <v>3286.7510495288</v>
      </c>
      <c r="I238" s="9" t="n">
        <f aca="false">E238*G238*D238/100</f>
        <v>3286.7510495288</v>
      </c>
      <c r="J238" s="9" t="n">
        <f aca="false">IF(B238=1, H238, I238)</f>
        <v>3286.7510495288</v>
      </c>
      <c r="K238" s="5" t="n">
        <v>3286.75</v>
      </c>
      <c r="L238" s="9" t="n">
        <f aca="false">J238-K238</f>
        <v>0.00104952879928533</v>
      </c>
    </row>
    <row r="239" customFormat="false" ht="15" hidden="false" customHeight="false" outlineLevel="0" collapsed="false">
      <c r="A239" s="4" t="s">
        <v>248</v>
      </c>
      <c r="B239" s="4" t="n">
        <v>1</v>
      </c>
      <c r="C239" s="5" t="n">
        <v>265549.41</v>
      </c>
      <c r="D239" s="5" t="n">
        <v>265762.36</v>
      </c>
      <c r="E239" s="6" t="n">
        <v>0.0249</v>
      </c>
      <c r="F239" s="7" t="n">
        <v>0.41</v>
      </c>
      <c r="G239" s="8" t="n">
        <f aca="false">MIN(75, MAX(25, F239*100))</f>
        <v>41</v>
      </c>
      <c r="H239" s="9" t="n">
        <f aca="false">E239*G239*D239/100</f>
        <v>2713.16793324</v>
      </c>
      <c r="I239" s="9" t="n">
        <f aca="false">E239*G239*D239/100</f>
        <v>2713.16793324</v>
      </c>
      <c r="J239" s="9" t="n">
        <f aca="false">IF(B239=1, H239, I239)</f>
        <v>2713.16793324</v>
      </c>
      <c r="K239" s="5" t="n">
        <v>2713.17</v>
      </c>
      <c r="L239" s="9" t="n">
        <f aca="false">J239-K239</f>
        <v>-0.00206676000016159</v>
      </c>
    </row>
    <row r="240" customFormat="false" ht="15" hidden="false" customHeight="false" outlineLevel="0" collapsed="false">
      <c r="A240" s="4" t="s">
        <v>249</v>
      </c>
      <c r="B240" s="4" t="n">
        <v>1</v>
      </c>
      <c r="C240" s="5" t="n">
        <v>628423.21</v>
      </c>
      <c r="D240" s="5" t="n">
        <v>648027.17</v>
      </c>
      <c r="E240" s="6" t="n">
        <v>0.0219</v>
      </c>
      <c r="F240" s="7" t="n">
        <v>0.4335</v>
      </c>
      <c r="G240" s="8" t="n">
        <f aca="false">MIN(75, MAX(25, F240*100))</f>
        <v>43.35</v>
      </c>
      <c r="H240" s="9" t="n">
        <f aca="false">E240*G240*D240/100</f>
        <v>6152.1431424705</v>
      </c>
      <c r="I240" s="9" t="n">
        <f aca="false">E240*G240*D240/100</f>
        <v>6152.1431424705</v>
      </c>
      <c r="J240" s="9" t="n">
        <f aca="false">IF(B240=1, H240, I240)</f>
        <v>6152.1431424705</v>
      </c>
      <c r="K240" s="5" t="n">
        <v>6152.14</v>
      </c>
      <c r="L240" s="9" t="n">
        <f aca="false">J240-K240</f>
        <v>0.00314247050027916</v>
      </c>
    </row>
    <row r="241" customFormat="false" ht="15" hidden="false" customHeight="false" outlineLevel="0" collapsed="false">
      <c r="A241" s="4" t="s">
        <v>250</v>
      </c>
      <c r="B241" s="4" t="n">
        <v>1</v>
      </c>
      <c r="C241" s="5" t="n">
        <v>819165.95</v>
      </c>
      <c r="D241" s="5" t="n">
        <v>855896.51</v>
      </c>
      <c r="E241" s="6" t="n">
        <v>0.0168</v>
      </c>
      <c r="F241" s="7" t="n">
        <v>0.5349</v>
      </c>
      <c r="G241" s="8" t="n">
        <f aca="false">MIN(75, MAX(25, F241*100))</f>
        <v>53.49</v>
      </c>
      <c r="H241" s="9" t="n">
        <f aca="false">E241*G241*D241/100</f>
        <v>7691.3599257432</v>
      </c>
      <c r="I241" s="9" t="n">
        <f aca="false">E241*G241*D241/100</f>
        <v>7691.3599257432</v>
      </c>
      <c r="J241" s="9" t="n">
        <f aca="false">IF(B241=1, H241, I241)</f>
        <v>7691.3599257432</v>
      </c>
      <c r="K241" s="5" t="n">
        <v>7691.36</v>
      </c>
      <c r="L241" s="9" t="n">
        <f aca="false">J241-K241</f>
        <v>-7.42567999623134E-005</v>
      </c>
    </row>
    <row r="242" customFormat="false" ht="15" hidden="false" customHeight="false" outlineLevel="0" collapsed="false">
      <c r="A242" s="4" t="s">
        <v>251</v>
      </c>
      <c r="B242" s="4" t="n">
        <v>1</v>
      </c>
      <c r="C242" s="5" t="n">
        <v>610570.67</v>
      </c>
      <c r="D242" s="5" t="n">
        <v>617361.56</v>
      </c>
      <c r="E242" s="6" t="n">
        <v>0.0236</v>
      </c>
      <c r="F242" s="7" t="n">
        <v>0.5589</v>
      </c>
      <c r="G242" s="8" t="n">
        <f aca="false">MIN(75, MAX(25, F242*100))</f>
        <v>55.89</v>
      </c>
      <c r="H242" s="9" t="n">
        <f aca="false">E242*G242*D242/100</f>
        <v>8143.0236708624</v>
      </c>
      <c r="I242" s="9" t="n">
        <f aca="false">E242*G242*D242/100</f>
        <v>8143.0236708624</v>
      </c>
      <c r="J242" s="9" t="n">
        <f aca="false">IF(B242=1, H242, I242)</f>
        <v>8143.0236708624</v>
      </c>
      <c r="K242" s="5" t="n">
        <v>8143.02</v>
      </c>
      <c r="L242" s="9" t="n">
        <f aca="false">J242-K242</f>
        <v>0.00367086239930359</v>
      </c>
    </row>
    <row r="243" customFormat="false" ht="15" hidden="false" customHeight="false" outlineLevel="0" collapsed="false">
      <c r="A243" s="4" t="s">
        <v>252</v>
      </c>
      <c r="B243" s="4" t="n">
        <v>1</v>
      </c>
      <c r="C243" s="5" t="n">
        <v>245080.72</v>
      </c>
      <c r="D243" s="5" t="n">
        <v>250260.47</v>
      </c>
      <c r="E243" s="6" t="n">
        <v>0.0185</v>
      </c>
      <c r="F243" s="7" t="n">
        <v>0.4912</v>
      </c>
      <c r="G243" s="8" t="n">
        <f aca="false">MIN(75, MAX(25, F243*100))</f>
        <v>49.12</v>
      </c>
      <c r="H243" s="9" t="n">
        <f aca="false">E243*G243*D243/100</f>
        <v>2274.166942984</v>
      </c>
      <c r="I243" s="9" t="n">
        <f aca="false">E243*G243*D243/100</f>
        <v>2274.166942984</v>
      </c>
      <c r="J243" s="9" t="n">
        <f aca="false">IF(B243=1, H243, I243)</f>
        <v>2274.166942984</v>
      </c>
      <c r="K243" s="5" t="n">
        <v>2274.17</v>
      </c>
      <c r="L243" s="9" t="n">
        <f aca="false">J243-K243</f>
        <v>-0.00305701599972963</v>
      </c>
    </row>
    <row r="244" customFormat="false" ht="15" hidden="false" customHeight="false" outlineLevel="0" collapsed="false">
      <c r="A244" s="4" t="s">
        <v>253</v>
      </c>
      <c r="B244" s="4" t="n">
        <v>1</v>
      </c>
      <c r="C244" s="5" t="n">
        <v>889584.24</v>
      </c>
      <c r="D244" s="5" t="n">
        <v>907137.95</v>
      </c>
      <c r="E244" s="6" t="n">
        <v>0.0189</v>
      </c>
      <c r="F244" s="7" t="n">
        <v>0.4747</v>
      </c>
      <c r="G244" s="8" t="n">
        <f aca="false">MIN(75, MAX(25, F244*100))</f>
        <v>47.47</v>
      </c>
      <c r="H244" s="9" t="n">
        <f aca="false">E244*G244*D244/100</f>
        <v>8138.6874739485</v>
      </c>
      <c r="I244" s="9" t="n">
        <f aca="false">E244*G244*D244/100</f>
        <v>8138.6874739485</v>
      </c>
      <c r="J244" s="9" t="n">
        <f aca="false">IF(B244=1, H244, I244)</f>
        <v>8138.6874739485</v>
      </c>
      <c r="K244" s="5" t="n">
        <v>8138.69</v>
      </c>
      <c r="L244" s="9" t="n">
        <f aca="false">J244-K244</f>
        <v>-0.00252605150035379</v>
      </c>
    </row>
    <row r="245" customFormat="false" ht="15" hidden="false" customHeight="false" outlineLevel="0" collapsed="false">
      <c r="A245" s="4" t="s">
        <v>254</v>
      </c>
      <c r="B245" s="4" t="n">
        <v>1</v>
      </c>
      <c r="C245" s="5" t="n">
        <v>188348.75</v>
      </c>
      <c r="D245" s="5" t="n">
        <v>194762.65</v>
      </c>
      <c r="E245" s="6" t="n">
        <v>0.0171</v>
      </c>
      <c r="F245" s="7" t="n">
        <v>0.4866</v>
      </c>
      <c r="G245" s="8" t="n">
        <f aca="false">MIN(75, MAX(25, F245*100))</f>
        <v>48.66</v>
      </c>
      <c r="H245" s="9" t="n">
        <f aca="false">E245*G245*D245/100</f>
        <v>1620.592743879</v>
      </c>
      <c r="I245" s="9" t="n">
        <f aca="false">E245*G245*D245/100</f>
        <v>1620.592743879</v>
      </c>
      <c r="J245" s="9" t="n">
        <f aca="false">IF(B245=1, H245, I245)</f>
        <v>1620.592743879</v>
      </c>
      <c r="K245" s="5" t="n">
        <v>1620.59</v>
      </c>
      <c r="L245" s="9" t="n">
        <f aca="false">J245-K245</f>
        <v>0.00274387900003603</v>
      </c>
    </row>
    <row r="246" customFormat="false" ht="15" hidden="false" customHeight="false" outlineLevel="0" collapsed="false">
      <c r="A246" s="4" t="s">
        <v>255</v>
      </c>
      <c r="B246" s="4" t="n">
        <v>1</v>
      </c>
      <c r="C246" s="5" t="n">
        <v>232809.4</v>
      </c>
      <c r="D246" s="5" t="n">
        <v>234769.64</v>
      </c>
      <c r="E246" s="6" t="n">
        <v>0.0224</v>
      </c>
      <c r="F246" s="7" t="n">
        <v>0.3519</v>
      </c>
      <c r="G246" s="8" t="n">
        <f aca="false">MIN(75, MAX(25, F246*100))</f>
        <v>35.19</v>
      </c>
      <c r="H246" s="9" t="n">
        <f aca="false">E246*G246*D246/100</f>
        <v>1850.5857734784</v>
      </c>
      <c r="I246" s="9" t="n">
        <f aca="false">E246*G246*D246/100</f>
        <v>1850.5857734784</v>
      </c>
      <c r="J246" s="9" t="n">
        <f aca="false">IF(B246=1, H246, I246)</f>
        <v>1850.5857734784</v>
      </c>
      <c r="K246" s="5" t="n">
        <v>1850.59</v>
      </c>
      <c r="L246" s="9" t="n">
        <f aca="false">J246-K246</f>
        <v>-0.00422652159977588</v>
      </c>
    </row>
    <row r="247" customFormat="false" ht="15" hidden="false" customHeight="false" outlineLevel="0" collapsed="false">
      <c r="A247" s="4" t="s">
        <v>256</v>
      </c>
      <c r="B247" s="4" t="n">
        <v>1</v>
      </c>
      <c r="C247" s="5" t="n">
        <v>330553.75</v>
      </c>
      <c r="D247" s="5" t="n">
        <v>334434.12</v>
      </c>
      <c r="E247" s="6" t="n">
        <v>0.0148</v>
      </c>
      <c r="F247" s="7" t="n">
        <v>0.3589</v>
      </c>
      <c r="G247" s="8" t="n">
        <f aca="false">MIN(75, MAX(25, F247*100))</f>
        <v>35.89</v>
      </c>
      <c r="H247" s="9" t="n">
        <f aca="false">E247*G247*D247/100</f>
        <v>1776.4204038864</v>
      </c>
      <c r="I247" s="9" t="n">
        <f aca="false">E247*G247*D247/100</f>
        <v>1776.4204038864</v>
      </c>
      <c r="J247" s="9" t="n">
        <f aca="false">IF(B247=1, H247, I247)</f>
        <v>1776.4204038864</v>
      </c>
      <c r="K247" s="5" t="n">
        <v>1776.42</v>
      </c>
      <c r="L247" s="9" t="n">
        <f aca="false">J247-K247</f>
        <v>0.000403886399908515</v>
      </c>
    </row>
    <row r="248" customFormat="false" ht="15" hidden="false" customHeight="false" outlineLevel="0" collapsed="false">
      <c r="A248" s="4" t="s">
        <v>257</v>
      </c>
      <c r="B248" s="4" t="n">
        <v>1</v>
      </c>
      <c r="C248" s="5" t="n">
        <v>146575.5</v>
      </c>
      <c r="D248" s="5" t="n">
        <v>147593.2</v>
      </c>
      <c r="E248" s="6" t="n">
        <v>0.0227</v>
      </c>
      <c r="F248" s="7" t="n">
        <v>0.6164</v>
      </c>
      <c r="G248" s="8" t="n">
        <f aca="false">MIN(75, MAX(25, F248*100))</f>
        <v>61.64</v>
      </c>
      <c r="H248" s="9" t="n">
        <f aca="false">E248*G248*D248/100</f>
        <v>2065.165380496</v>
      </c>
      <c r="I248" s="9" t="n">
        <f aca="false">E248*G248*D248/100</f>
        <v>2065.165380496</v>
      </c>
      <c r="J248" s="9" t="n">
        <f aca="false">IF(B248=1, H248, I248)</f>
        <v>2065.165380496</v>
      </c>
      <c r="K248" s="5" t="n">
        <v>2065.17</v>
      </c>
      <c r="L248" s="9" t="n">
        <f aca="false">J248-K248</f>
        <v>-0.00461950399994748</v>
      </c>
    </row>
    <row r="249" customFormat="false" ht="15" hidden="false" customHeight="false" outlineLevel="0" collapsed="false">
      <c r="A249" s="4" t="s">
        <v>258</v>
      </c>
      <c r="B249" s="4" t="n">
        <v>1</v>
      </c>
      <c r="C249" s="5" t="n">
        <v>442810.24</v>
      </c>
      <c r="D249" s="5" t="n">
        <v>462210.51</v>
      </c>
      <c r="E249" s="6" t="n">
        <v>0.0225</v>
      </c>
      <c r="F249" s="7" t="n">
        <v>0.611</v>
      </c>
      <c r="G249" s="8" t="n">
        <f aca="false">MIN(75, MAX(25, F249*100))</f>
        <v>61.1</v>
      </c>
      <c r="H249" s="9" t="n">
        <f aca="false">E249*G249*D249/100</f>
        <v>6354.238986225</v>
      </c>
      <c r="I249" s="9" t="n">
        <f aca="false">E249*G249*D249/100</f>
        <v>6354.238986225</v>
      </c>
      <c r="J249" s="9" t="n">
        <f aca="false">IF(B249=1, H249, I249)</f>
        <v>6354.238986225</v>
      </c>
      <c r="K249" s="5" t="n">
        <v>6354.24</v>
      </c>
      <c r="L249" s="9" t="n">
        <f aca="false">J249-K249</f>
        <v>-0.00101377499959199</v>
      </c>
    </row>
    <row r="250" customFormat="false" ht="15" hidden="false" customHeight="false" outlineLevel="0" collapsed="false">
      <c r="A250" s="4" t="s">
        <v>259</v>
      </c>
      <c r="B250" s="4" t="n">
        <v>1</v>
      </c>
      <c r="C250" s="5" t="n">
        <v>1699975.24</v>
      </c>
      <c r="D250" s="5" t="n">
        <v>1774089.11</v>
      </c>
      <c r="E250" s="6" t="n">
        <v>0.0151</v>
      </c>
      <c r="F250" s="7" t="n">
        <v>0.5575</v>
      </c>
      <c r="G250" s="8" t="n">
        <f aca="false">MIN(75, MAX(25, F250*100))</f>
        <v>55.75</v>
      </c>
      <c r="H250" s="9" t="n">
        <f aca="false">E250*G250*D250/100</f>
        <v>14934.7256502575</v>
      </c>
      <c r="I250" s="9" t="n">
        <f aca="false">E250*G250*D250/100</f>
        <v>14934.7256502575</v>
      </c>
      <c r="J250" s="9" t="n">
        <f aca="false">IF(B250=1, H250, I250)</f>
        <v>14934.7256502575</v>
      </c>
      <c r="K250" s="5" t="n">
        <v>14934.73</v>
      </c>
      <c r="L250" s="9" t="n">
        <f aca="false">J250-K250</f>
        <v>-0.00434974249947118</v>
      </c>
    </row>
    <row r="251" customFormat="false" ht="15" hidden="false" customHeight="false" outlineLevel="0" collapsed="false">
      <c r="A251" s="4" t="s">
        <v>260</v>
      </c>
      <c r="B251" s="4" t="n">
        <v>1</v>
      </c>
      <c r="C251" s="5" t="n">
        <v>303730.59</v>
      </c>
      <c r="D251" s="5" t="n">
        <v>307104.15</v>
      </c>
      <c r="E251" s="6" t="n">
        <v>0.0202</v>
      </c>
      <c r="F251" s="7" t="n">
        <v>0.5305</v>
      </c>
      <c r="G251" s="8" t="n">
        <f aca="false">MIN(75, MAX(25, F251*100))</f>
        <v>53.05</v>
      </c>
      <c r="H251" s="9" t="n">
        <f aca="false">E251*G251*D251/100</f>
        <v>3290.958781815</v>
      </c>
      <c r="I251" s="9" t="n">
        <f aca="false">E251*G251*D251/100</f>
        <v>3290.958781815</v>
      </c>
      <c r="J251" s="9" t="n">
        <f aca="false">IF(B251=1, H251, I251)</f>
        <v>3290.958781815</v>
      </c>
      <c r="K251" s="5" t="n">
        <v>3290.96</v>
      </c>
      <c r="L251" s="9" t="n">
        <f aca="false">J251-K251</f>
        <v>-0.00121818499974324</v>
      </c>
    </row>
    <row r="252" customFormat="false" ht="15" hidden="false" customHeight="false" outlineLevel="0" collapsed="false">
      <c r="A252" s="4" t="s">
        <v>261</v>
      </c>
      <c r="B252" s="4" t="n">
        <v>1</v>
      </c>
      <c r="C252" s="5" t="n">
        <v>931697.09</v>
      </c>
      <c r="D252" s="5" t="n">
        <v>971610.01</v>
      </c>
      <c r="E252" s="6" t="n">
        <v>0.0251</v>
      </c>
      <c r="F252" s="7" t="n">
        <v>0.5828</v>
      </c>
      <c r="G252" s="8" t="n">
        <f aca="false">MIN(75, MAX(25, F252*100))</f>
        <v>58.28</v>
      </c>
      <c r="H252" s="9" t="n">
        <f aca="false">E252*G252*D252/100</f>
        <v>14212.9832770828</v>
      </c>
      <c r="I252" s="9" t="n">
        <f aca="false">E252*G252*D252/100</f>
        <v>14212.9832770828</v>
      </c>
      <c r="J252" s="9" t="n">
        <f aca="false">IF(B252=1, H252, I252)</f>
        <v>14212.9832770828</v>
      </c>
      <c r="K252" s="5" t="n">
        <v>14212.98</v>
      </c>
      <c r="L252" s="9" t="n">
        <f aca="false">J252-K252</f>
        <v>0.00327708280019579</v>
      </c>
    </row>
    <row r="253" customFormat="false" ht="15" hidden="false" customHeight="false" outlineLevel="0" collapsed="false">
      <c r="A253" s="4" t="s">
        <v>262</v>
      </c>
      <c r="B253" s="4" t="n">
        <v>1</v>
      </c>
      <c r="C253" s="5" t="n">
        <v>2653692.08</v>
      </c>
      <c r="D253" s="5" t="n">
        <v>2740101.34</v>
      </c>
      <c r="E253" s="6" t="n">
        <v>0.0237</v>
      </c>
      <c r="F253" s="7" t="n">
        <v>0.4087</v>
      </c>
      <c r="G253" s="8" t="n">
        <f aca="false">MIN(75, MAX(25, F253*100))</f>
        <v>40.87</v>
      </c>
      <c r="H253" s="9" t="n">
        <f aca="false">E253*G253*D253/100</f>
        <v>26541.1421984946</v>
      </c>
      <c r="I253" s="9" t="n">
        <f aca="false">E253*G253*D253/100</f>
        <v>26541.1421984946</v>
      </c>
      <c r="J253" s="9" t="n">
        <f aca="false">IF(B253=1, H253, I253)</f>
        <v>26541.1421984946</v>
      </c>
      <c r="K253" s="5" t="n">
        <v>26541.14</v>
      </c>
      <c r="L253" s="9" t="n">
        <f aca="false">J253-K253</f>
        <v>0.0021984945924487</v>
      </c>
    </row>
    <row r="254" customFormat="false" ht="15" hidden="false" customHeight="false" outlineLevel="0" collapsed="false">
      <c r="A254" s="4" t="s">
        <v>263</v>
      </c>
      <c r="B254" s="4" t="n">
        <v>1</v>
      </c>
      <c r="C254" s="5" t="n">
        <v>590712.72</v>
      </c>
      <c r="D254" s="5" t="n">
        <v>601561.84</v>
      </c>
      <c r="E254" s="6" t="n">
        <v>0.0173</v>
      </c>
      <c r="F254" s="7" t="n">
        <v>0.546</v>
      </c>
      <c r="G254" s="8" t="n">
        <f aca="false">MIN(75, MAX(25, F254*100))</f>
        <v>54.6</v>
      </c>
      <c r="H254" s="9" t="n">
        <f aca="false">E254*G254*D254/100</f>
        <v>5682.232828272</v>
      </c>
      <c r="I254" s="9" t="n">
        <f aca="false">E254*G254*D254/100</f>
        <v>5682.232828272</v>
      </c>
      <c r="J254" s="9" t="n">
        <f aca="false">IF(B254=1, H254, I254)</f>
        <v>5682.232828272</v>
      </c>
      <c r="K254" s="5" t="n">
        <v>5682.23</v>
      </c>
      <c r="L254" s="9" t="n">
        <f aca="false">J254-K254</f>
        <v>0.00282827199953317</v>
      </c>
    </row>
    <row r="255" customFormat="false" ht="15" hidden="false" customHeight="false" outlineLevel="0" collapsed="false">
      <c r="A255" s="4" t="s">
        <v>264</v>
      </c>
      <c r="B255" s="4" t="n">
        <v>1</v>
      </c>
      <c r="C255" s="5" t="n">
        <v>626705.91</v>
      </c>
      <c r="D255" s="5" t="n">
        <v>647342.78</v>
      </c>
      <c r="E255" s="6" t="n">
        <v>0.023</v>
      </c>
      <c r="F255" s="7" t="n">
        <v>0.4122</v>
      </c>
      <c r="G255" s="8" t="n">
        <f aca="false">MIN(75, MAX(25, F255*100))</f>
        <v>41.22</v>
      </c>
      <c r="H255" s="9" t="n">
        <f aca="false">E255*G255*D255/100</f>
        <v>6137.197960068</v>
      </c>
      <c r="I255" s="9" t="n">
        <f aca="false">E255*G255*D255/100</f>
        <v>6137.197960068</v>
      </c>
      <c r="J255" s="9" t="n">
        <f aca="false">IF(B255=1, H255, I255)</f>
        <v>6137.197960068</v>
      </c>
      <c r="K255" s="5" t="n">
        <v>6137.2</v>
      </c>
      <c r="L255" s="9" t="n">
        <f aca="false">J255-K255</f>
        <v>-0.00203993200102559</v>
      </c>
    </row>
    <row r="256" customFormat="false" ht="15" hidden="false" customHeight="false" outlineLevel="0" collapsed="false">
      <c r="A256" s="4" t="s">
        <v>265</v>
      </c>
      <c r="B256" s="4" t="n">
        <v>1</v>
      </c>
      <c r="C256" s="5" t="n">
        <v>114575.89</v>
      </c>
      <c r="D256" s="5" t="n">
        <v>116593.1</v>
      </c>
      <c r="E256" s="6" t="n">
        <v>0.0203</v>
      </c>
      <c r="F256" s="7" t="n">
        <v>0.6458</v>
      </c>
      <c r="G256" s="8" t="n">
        <f aca="false">MIN(75, MAX(25, F256*100))</f>
        <v>64.58</v>
      </c>
      <c r="H256" s="9" t="n">
        <f aca="false">E256*G256*D256/100</f>
        <v>1528.505226794</v>
      </c>
      <c r="I256" s="9" t="n">
        <f aca="false">E256*G256*D256/100</f>
        <v>1528.505226794</v>
      </c>
      <c r="J256" s="9" t="n">
        <f aca="false">IF(B256=1, H256, I256)</f>
        <v>1528.505226794</v>
      </c>
      <c r="K256" s="5" t="n">
        <v>1528.51</v>
      </c>
      <c r="L256" s="9" t="n">
        <f aca="false">J256-K256</f>
        <v>-0.00477320599998166</v>
      </c>
    </row>
    <row r="257" customFormat="false" ht="15" hidden="false" customHeight="false" outlineLevel="0" collapsed="false">
      <c r="A257" s="4" t="s">
        <v>266</v>
      </c>
      <c r="B257" s="4" t="n">
        <v>1</v>
      </c>
      <c r="C257" s="5" t="n">
        <v>462830.42</v>
      </c>
      <c r="D257" s="5" t="n">
        <v>467288.11</v>
      </c>
      <c r="E257" s="6" t="n">
        <v>0.0259</v>
      </c>
      <c r="F257" s="7" t="n">
        <v>0.559</v>
      </c>
      <c r="G257" s="8" t="n">
        <f aca="false">MIN(75, MAX(25, F257*100))</f>
        <v>55.9</v>
      </c>
      <c r="H257" s="9" t="n">
        <f aca="false">E257*G257*D257/100</f>
        <v>6765.443985391</v>
      </c>
      <c r="I257" s="9" t="n">
        <f aca="false">E257*G257*D257/100</f>
        <v>6765.443985391</v>
      </c>
      <c r="J257" s="9" t="n">
        <f aca="false">IF(B257=1, H257, I257)</f>
        <v>6765.443985391</v>
      </c>
      <c r="K257" s="5" t="n">
        <v>6765.44</v>
      </c>
      <c r="L257" s="9" t="n">
        <f aca="false">J257-K257</f>
        <v>0.00398539100024209</v>
      </c>
    </row>
    <row r="258" customFormat="false" ht="15" hidden="false" customHeight="false" outlineLevel="0" collapsed="false">
      <c r="A258" s="4" t="s">
        <v>267</v>
      </c>
      <c r="B258" s="4" t="n">
        <v>1</v>
      </c>
      <c r="C258" s="5" t="n">
        <v>74072.37</v>
      </c>
      <c r="D258" s="5" t="n">
        <v>76191.43</v>
      </c>
      <c r="E258" s="6" t="n">
        <v>0.0151</v>
      </c>
      <c r="F258" s="7" t="n">
        <v>0.4547</v>
      </c>
      <c r="G258" s="8" t="n">
        <f aca="false">MIN(75, MAX(25, F258*100))</f>
        <v>45.47</v>
      </c>
      <c r="H258" s="9" t="n">
        <f aca="false">E258*G258*D258/100</f>
        <v>523.1280726371</v>
      </c>
      <c r="I258" s="9" t="n">
        <f aca="false">E258*G258*D258/100</f>
        <v>523.1280726371</v>
      </c>
      <c r="J258" s="9" t="n">
        <f aca="false">IF(B258=1, H258, I258)</f>
        <v>523.1280726371</v>
      </c>
      <c r="K258" s="5" t="n">
        <v>523.13</v>
      </c>
      <c r="L258" s="9" t="n">
        <f aca="false">J258-K258</f>
        <v>-0.00192736290000539</v>
      </c>
    </row>
    <row r="259" customFormat="false" ht="15" hidden="false" customHeight="false" outlineLevel="0" collapsed="false">
      <c r="A259" s="4" t="s">
        <v>268</v>
      </c>
      <c r="B259" s="4" t="n">
        <v>1</v>
      </c>
      <c r="C259" s="5" t="n">
        <v>803581.31</v>
      </c>
      <c r="D259" s="5" t="n">
        <v>835663.04</v>
      </c>
      <c r="E259" s="6" t="n">
        <v>0.0162</v>
      </c>
      <c r="F259" s="7" t="n">
        <v>0.6459</v>
      </c>
      <c r="G259" s="8" t="n">
        <f aca="false">MIN(75, MAX(25, F259*100))</f>
        <v>64.59</v>
      </c>
      <c r="H259" s="9" t="n">
        <f aca="false">E259*G259*D259/100</f>
        <v>8744.0270720832</v>
      </c>
      <c r="I259" s="9" t="n">
        <f aca="false">E259*G259*D259/100</f>
        <v>8744.0270720832</v>
      </c>
      <c r="J259" s="9" t="n">
        <f aca="false">IF(B259=1, H259, I259)</f>
        <v>8744.0270720832</v>
      </c>
      <c r="K259" s="5" t="n">
        <v>8744.03</v>
      </c>
      <c r="L259" s="9" t="n">
        <f aca="false">J259-K259</f>
        <v>-0.00292791680112714</v>
      </c>
    </row>
    <row r="260" customFormat="false" ht="15" hidden="false" customHeight="false" outlineLevel="0" collapsed="false">
      <c r="A260" s="4" t="s">
        <v>269</v>
      </c>
      <c r="B260" s="4" t="n">
        <v>1</v>
      </c>
      <c r="C260" s="5" t="n">
        <v>85895.44</v>
      </c>
      <c r="D260" s="5" t="n">
        <v>89115.09</v>
      </c>
      <c r="E260" s="6" t="n">
        <v>0.0226</v>
      </c>
      <c r="F260" s="7" t="n">
        <v>0.5608</v>
      </c>
      <c r="G260" s="8" t="n">
        <f aca="false">MIN(75, MAX(25, F260*100))</f>
        <v>56.08</v>
      </c>
      <c r="H260" s="9" t="n">
        <f aca="false">E260*G260*D260/100</f>
        <v>1129.4517798672</v>
      </c>
      <c r="I260" s="9" t="n">
        <f aca="false">E260*G260*D260/100</f>
        <v>1129.4517798672</v>
      </c>
      <c r="J260" s="9" t="n">
        <f aca="false">IF(B260=1, H260, I260)</f>
        <v>1129.4517798672</v>
      </c>
      <c r="K260" s="5" t="n">
        <v>1129.45</v>
      </c>
      <c r="L260" s="9" t="n">
        <f aca="false">J260-K260</f>
        <v>0.00177986719972978</v>
      </c>
    </row>
    <row r="261" customFormat="false" ht="15" hidden="false" customHeight="false" outlineLevel="0" collapsed="false">
      <c r="A261" s="4" t="s">
        <v>270</v>
      </c>
      <c r="B261" s="4" t="n">
        <v>1</v>
      </c>
      <c r="C261" s="5" t="n">
        <v>310051.38</v>
      </c>
      <c r="D261" s="5" t="n">
        <v>316153.52</v>
      </c>
      <c r="E261" s="6" t="n">
        <v>0.014</v>
      </c>
      <c r="F261" s="7" t="n">
        <v>0.5394</v>
      </c>
      <c r="G261" s="8" t="n">
        <f aca="false">MIN(75, MAX(25, F261*100))</f>
        <v>53.94</v>
      </c>
      <c r="H261" s="9" t="n">
        <f aca="false">E261*G261*D261/100</f>
        <v>2387.464921632</v>
      </c>
      <c r="I261" s="9" t="n">
        <f aca="false">E261*G261*D261/100</f>
        <v>2387.464921632</v>
      </c>
      <c r="J261" s="9" t="n">
        <f aca="false">IF(B261=1, H261, I261)</f>
        <v>2387.464921632</v>
      </c>
      <c r="K261" s="5" t="n">
        <v>2387.46</v>
      </c>
      <c r="L261" s="9" t="n">
        <f aca="false">J261-K261</f>
        <v>0.00492163199987772</v>
      </c>
    </row>
    <row r="262" customFormat="false" ht="15" hidden="false" customHeight="false" outlineLevel="0" collapsed="false">
      <c r="A262" s="4" t="s">
        <v>271</v>
      </c>
      <c r="B262" s="4" t="n">
        <v>1</v>
      </c>
      <c r="C262" s="5" t="n">
        <v>138005.11</v>
      </c>
      <c r="D262" s="5" t="n">
        <v>140070.25</v>
      </c>
      <c r="E262" s="6" t="n">
        <v>0.0167</v>
      </c>
      <c r="F262" s="7" t="n">
        <v>0.4686</v>
      </c>
      <c r="G262" s="8" t="n">
        <f aca="false">MIN(75, MAX(25, F262*100))</f>
        <v>46.86</v>
      </c>
      <c r="H262" s="9" t="n">
        <f aca="false">E262*G262*D262/100</f>
        <v>1096.136549805</v>
      </c>
      <c r="I262" s="9" t="n">
        <f aca="false">E262*G262*D262/100</f>
        <v>1096.136549805</v>
      </c>
      <c r="J262" s="9" t="n">
        <f aca="false">IF(B262=1, H262, I262)</f>
        <v>1096.136549805</v>
      </c>
      <c r="K262" s="5" t="n">
        <v>1096.14</v>
      </c>
      <c r="L262" s="9" t="n">
        <f aca="false">J262-K262</f>
        <v>-0.00345019500014132</v>
      </c>
    </row>
    <row r="263" customFormat="false" ht="15" hidden="false" customHeight="false" outlineLevel="0" collapsed="false">
      <c r="A263" s="4" t="s">
        <v>272</v>
      </c>
      <c r="B263" s="4" t="n">
        <v>3</v>
      </c>
      <c r="C263" s="5" t="n">
        <v>466276.71</v>
      </c>
      <c r="D263" s="5" t="n">
        <v>484757.89</v>
      </c>
      <c r="E263" s="6" t="n">
        <v>0.662</v>
      </c>
      <c r="F263" s="7" t="n">
        <v>0.6373</v>
      </c>
      <c r="G263" s="8" t="n">
        <f aca="false">MIN(75, MAX(25, F263*100))</f>
        <v>63.73</v>
      </c>
      <c r="H263" s="9" t="n">
        <f aca="false">E263*G263*D263/100</f>
        <v>204515.766582614</v>
      </c>
      <c r="I263" s="9" t="n">
        <f aca="false">E263*G263*D263/100</f>
        <v>204515.766582614</v>
      </c>
      <c r="J263" s="9" t="n">
        <f aca="false">IF(B263=1, H263, I263)</f>
        <v>204515.766582614</v>
      </c>
      <c r="K263" s="5" t="n">
        <v>204515.77</v>
      </c>
      <c r="L263" s="9" t="n">
        <f aca="false">J263-K263</f>
        <v>-0.00341738600400277</v>
      </c>
    </row>
    <row r="264" customFormat="false" ht="15" hidden="false" customHeight="false" outlineLevel="0" collapsed="false">
      <c r="A264" s="4" t="s">
        <v>273</v>
      </c>
      <c r="B264" s="4" t="n">
        <v>1</v>
      </c>
      <c r="C264" s="5" t="n">
        <v>534031.41</v>
      </c>
      <c r="D264" s="5" t="n">
        <v>550824.24</v>
      </c>
      <c r="E264" s="6" t="n">
        <v>0.0163</v>
      </c>
      <c r="F264" s="7" t="n">
        <v>0.6065</v>
      </c>
      <c r="G264" s="8" t="n">
        <f aca="false">MIN(75, MAX(25, F264*100))</f>
        <v>60.65</v>
      </c>
      <c r="H264" s="9" t="n">
        <f aca="false">E264*G264*D264/100</f>
        <v>5445.420895428</v>
      </c>
      <c r="I264" s="9" t="n">
        <f aca="false">E264*G264*D264/100</f>
        <v>5445.420895428</v>
      </c>
      <c r="J264" s="9" t="n">
        <f aca="false">IF(B264=1, H264, I264)</f>
        <v>5445.420895428</v>
      </c>
      <c r="K264" s="5" t="n">
        <v>5445.42</v>
      </c>
      <c r="L264" s="9" t="n">
        <f aca="false">J264-K264</f>
        <v>0.000895428000148968</v>
      </c>
    </row>
    <row r="265" customFormat="false" ht="15" hidden="false" customHeight="false" outlineLevel="0" collapsed="false">
      <c r="A265" s="4" t="s">
        <v>274</v>
      </c>
      <c r="B265" s="4" t="n">
        <v>1</v>
      </c>
      <c r="C265" s="5" t="n">
        <v>580220.03</v>
      </c>
      <c r="D265" s="5" t="n">
        <v>594472.74</v>
      </c>
      <c r="E265" s="6" t="n">
        <v>0.0192</v>
      </c>
      <c r="F265" s="7" t="n">
        <v>0.4257</v>
      </c>
      <c r="G265" s="8" t="n">
        <f aca="false">MIN(75, MAX(25, F265*100))</f>
        <v>42.57</v>
      </c>
      <c r="H265" s="9" t="n">
        <f aca="false">E265*G265*D265/100</f>
        <v>4858.8872720256</v>
      </c>
      <c r="I265" s="9" t="n">
        <f aca="false">E265*G265*D265/100</f>
        <v>4858.8872720256</v>
      </c>
      <c r="J265" s="9" t="n">
        <f aca="false">IF(B265=1, H265, I265)</f>
        <v>4858.8872720256</v>
      </c>
      <c r="K265" s="5" t="n">
        <v>4858.89</v>
      </c>
      <c r="L265" s="9" t="n">
        <f aca="false">J265-K265</f>
        <v>-0.00272797439993155</v>
      </c>
    </row>
    <row r="266" customFormat="false" ht="15" hidden="false" customHeight="false" outlineLevel="0" collapsed="false">
      <c r="A266" s="4" t="s">
        <v>275</v>
      </c>
      <c r="B266" s="4" t="n">
        <v>1</v>
      </c>
      <c r="C266" s="5" t="n">
        <v>1262525.9</v>
      </c>
      <c r="D266" s="5" t="n">
        <v>1310564.25</v>
      </c>
      <c r="E266" s="6" t="n">
        <v>0.0176</v>
      </c>
      <c r="F266" s="7" t="n">
        <v>0.4923</v>
      </c>
      <c r="G266" s="8" t="n">
        <f aca="false">MIN(75, MAX(25, F266*100))</f>
        <v>49.23</v>
      </c>
      <c r="H266" s="9" t="n">
        <f aca="false">E266*G266*D266/100</f>
        <v>11355.35773284</v>
      </c>
      <c r="I266" s="9" t="n">
        <f aca="false">E266*G266*D266/100</f>
        <v>11355.35773284</v>
      </c>
      <c r="J266" s="9" t="n">
        <f aca="false">IF(B266=1, H266, I266)</f>
        <v>11355.35773284</v>
      </c>
      <c r="K266" s="5" t="n">
        <v>11355.36</v>
      </c>
      <c r="L266" s="9" t="n">
        <f aca="false">J266-K266</f>
        <v>-0.00226715999997396</v>
      </c>
    </row>
    <row r="267" customFormat="false" ht="15" hidden="false" customHeight="false" outlineLevel="0" collapsed="false">
      <c r="A267" s="4" t="s">
        <v>276</v>
      </c>
      <c r="B267" s="4" t="n">
        <v>3</v>
      </c>
      <c r="C267" s="5" t="n">
        <v>649821.79</v>
      </c>
      <c r="D267" s="5" t="n">
        <v>655802.31</v>
      </c>
      <c r="E267" s="6" t="n">
        <v>0.7994</v>
      </c>
      <c r="F267" s="7" t="n">
        <v>0.4314</v>
      </c>
      <c r="G267" s="8" t="n">
        <f aca="false">MIN(75, MAX(25, F267*100))</f>
        <v>43.14</v>
      </c>
      <c r="H267" s="9" t="n">
        <f aca="false">E267*G267*D267/100</f>
        <v>226160.74535728</v>
      </c>
      <c r="I267" s="9" t="n">
        <f aca="false">E267*G267*D267/100</f>
        <v>226160.74535728</v>
      </c>
      <c r="J267" s="9" t="n">
        <f aca="false">IF(B267=1, H267, I267)</f>
        <v>226160.74535728</v>
      </c>
      <c r="K267" s="5" t="n">
        <v>226160.75</v>
      </c>
      <c r="L267" s="9" t="n">
        <f aca="false">J267-K267</f>
        <v>-0.00464272036333568</v>
      </c>
    </row>
    <row r="268" customFormat="false" ht="15" hidden="false" customHeight="false" outlineLevel="0" collapsed="false">
      <c r="A268" s="4" t="s">
        <v>277</v>
      </c>
      <c r="B268" s="4" t="n">
        <v>1</v>
      </c>
      <c r="C268" s="5" t="n">
        <v>1669109.64</v>
      </c>
      <c r="D268" s="5" t="n">
        <v>1742883.15</v>
      </c>
      <c r="E268" s="6" t="n">
        <v>0.0179</v>
      </c>
      <c r="F268" s="7" t="n">
        <v>0.6339</v>
      </c>
      <c r="G268" s="8" t="n">
        <f aca="false">MIN(75, MAX(25, F268*100))</f>
        <v>63.39</v>
      </c>
      <c r="H268" s="9" t="n">
        <f aca="false">E268*G268*D268/100</f>
        <v>19776.1639552515</v>
      </c>
      <c r="I268" s="9" t="n">
        <f aca="false">E268*G268*D268/100</f>
        <v>19776.1639552515</v>
      </c>
      <c r="J268" s="9" t="n">
        <f aca="false">IF(B268=1, H268, I268)</f>
        <v>19776.1639552515</v>
      </c>
      <c r="K268" s="5" t="n">
        <v>19776.16</v>
      </c>
      <c r="L268" s="9" t="n">
        <f aca="false">J268-K268</f>
        <v>0.00395525150088361</v>
      </c>
    </row>
    <row r="269" customFormat="false" ht="15" hidden="false" customHeight="false" outlineLevel="0" collapsed="false">
      <c r="A269" s="4" t="s">
        <v>278</v>
      </c>
      <c r="B269" s="4" t="n">
        <v>1</v>
      </c>
      <c r="C269" s="5" t="n">
        <v>574206.21</v>
      </c>
      <c r="D269" s="5" t="n">
        <v>576896.11</v>
      </c>
      <c r="E269" s="6" t="n">
        <v>0.0184</v>
      </c>
      <c r="F269" s="7" t="n">
        <v>0.6207</v>
      </c>
      <c r="G269" s="8" t="n">
        <f aca="false">MIN(75, MAX(25, F269*100))</f>
        <v>62.07</v>
      </c>
      <c r="H269" s="9" t="n">
        <f aca="false">E269*G269*D269/100</f>
        <v>6588.6612447768</v>
      </c>
      <c r="I269" s="9" t="n">
        <f aca="false">E269*G269*D269/100</f>
        <v>6588.6612447768</v>
      </c>
      <c r="J269" s="9" t="n">
        <f aca="false">IF(B269=1, H269, I269)</f>
        <v>6588.6612447768</v>
      </c>
      <c r="K269" s="5" t="n">
        <v>6588.66</v>
      </c>
      <c r="L269" s="9" t="n">
        <f aca="false">J269-K269</f>
        <v>0.00124477679946722</v>
      </c>
    </row>
    <row r="270" customFormat="false" ht="15" hidden="false" customHeight="false" outlineLevel="0" collapsed="false">
      <c r="A270" s="4" t="s">
        <v>279</v>
      </c>
      <c r="B270" s="4" t="n">
        <v>1</v>
      </c>
      <c r="C270" s="5" t="n">
        <v>417263.6</v>
      </c>
      <c r="D270" s="5" t="n">
        <v>417545.19</v>
      </c>
      <c r="E270" s="6" t="n">
        <v>0.0157</v>
      </c>
      <c r="F270" s="7" t="n">
        <v>0.5382</v>
      </c>
      <c r="G270" s="8" t="n">
        <f aca="false">MIN(75, MAX(25, F270*100))</f>
        <v>53.82</v>
      </c>
      <c r="H270" s="9" t="n">
        <f aca="false">E270*G270*D270/100</f>
        <v>3528.1482937506</v>
      </c>
      <c r="I270" s="9" t="n">
        <f aca="false">E270*G270*D270/100</f>
        <v>3528.1482937506</v>
      </c>
      <c r="J270" s="9" t="n">
        <f aca="false">IF(B270=1, H270, I270)</f>
        <v>3528.1482937506</v>
      </c>
      <c r="K270" s="5" t="n">
        <v>3528.15</v>
      </c>
      <c r="L270" s="9" t="n">
        <f aca="false">J270-K270</f>
        <v>-0.00170624940028574</v>
      </c>
    </row>
    <row r="271" customFormat="false" ht="15" hidden="false" customHeight="false" outlineLevel="0" collapsed="false">
      <c r="A271" s="4" t="s">
        <v>280</v>
      </c>
      <c r="B271" s="4" t="n">
        <v>1</v>
      </c>
      <c r="C271" s="5" t="n">
        <v>458295.83</v>
      </c>
      <c r="D271" s="5" t="n">
        <v>479416.19</v>
      </c>
      <c r="E271" s="6" t="n">
        <v>0.0182</v>
      </c>
      <c r="F271" s="7" t="n">
        <v>0.4361</v>
      </c>
      <c r="G271" s="8" t="n">
        <f aca="false">MIN(75, MAX(25, F271*100))</f>
        <v>43.61</v>
      </c>
      <c r="H271" s="9" t="n">
        <f aca="false">E271*G271*D271/100</f>
        <v>3805.1358883538</v>
      </c>
      <c r="I271" s="9" t="n">
        <f aca="false">E271*G271*D271/100</f>
        <v>3805.1358883538</v>
      </c>
      <c r="J271" s="9" t="n">
        <f aca="false">IF(B271=1, H271, I271)</f>
        <v>3805.1358883538</v>
      </c>
      <c r="K271" s="5" t="n">
        <v>3805.14</v>
      </c>
      <c r="L271" s="9" t="n">
        <f aca="false">J271-K271</f>
        <v>-0.00411164620027193</v>
      </c>
    </row>
    <row r="272" customFormat="false" ht="15" hidden="false" customHeight="false" outlineLevel="0" collapsed="false">
      <c r="A272" s="4" t="s">
        <v>281</v>
      </c>
      <c r="B272" s="4" t="n">
        <v>1</v>
      </c>
      <c r="C272" s="5" t="n">
        <v>0</v>
      </c>
      <c r="D272" s="5" t="n">
        <v>0</v>
      </c>
      <c r="E272" s="6" t="n">
        <v>0.0219</v>
      </c>
      <c r="F272" s="7" t="n">
        <v>0.6299</v>
      </c>
      <c r="G272" s="8" t="n">
        <f aca="false">MIN(75, MAX(25, F272*100))</f>
        <v>62.99</v>
      </c>
      <c r="H272" s="9" t="n">
        <f aca="false">E272*G272*D272/100</f>
        <v>0</v>
      </c>
      <c r="I272" s="9" t="n">
        <f aca="false">E272*G272*D272/100</f>
        <v>0</v>
      </c>
      <c r="J272" s="9" t="n">
        <f aca="false">IF(B272=1, H272, I272)</f>
        <v>0</v>
      </c>
      <c r="K272" s="5" t="n">
        <v>0</v>
      </c>
      <c r="L272" s="9" t="n">
        <f aca="false">J272-K272</f>
        <v>0</v>
      </c>
    </row>
    <row r="273" customFormat="false" ht="15" hidden="false" customHeight="false" outlineLevel="0" collapsed="false">
      <c r="A273" s="4" t="s">
        <v>282</v>
      </c>
      <c r="B273" s="4" t="n">
        <v>1</v>
      </c>
      <c r="C273" s="5" t="n">
        <v>903535.5</v>
      </c>
      <c r="D273" s="5" t="n">
        <v>927874.36</v>
      </c>
      <c r="E273" s="6" t="n">
        <v>0.0186</v>
      </c>
      <c r="F273" s="7" t="n">
        <v>0.5148</v>
      </c>
      <c r="G273" s="8" t="n">
        <f aca="false">MIN(75, MAX(25, F273*100))</f>
        <v>51.48</v>
      </c>
      <c r="H273" s="9" t="n">
        <f aca="false">E273*G273*D273/100</f>
        <v>8884.6568018208</v>
      </c>
      <c r="I273" s="9" t="n">
        <f aca="false">E273*G273*D273/100</f>
        <v>8884.6568018208</v>
      </c>
      <c r="J273" s="9" t="n">
        <f aca="false">IF(B273=1, H273, I273)</f>
        <v>8884.6568018208</v>
      </c>
      <c r="K273" s="5" t="n">
        <v>8884.66</v>
      </c>
      <c r="L273" s="9" t="n">
        <f aca="false">J273-K273</f>
        <v>-0.00319817919989873</v>
      </c>
    </row>
    <row r="274" customFormat="false" ht="15" hidden="false" customHeight="false" outlineLevel="0" collapsed="false">
      <c r="A274" s="4" t="s">
        <v>283</v>
      </c>
      <c r="B274" s="4" t="n">
        <v>1</v>
      </c>
      <c r="C274" s="5" t="n">
        <v>700432.19</v>
      </c>
      <c r="D274" s="5" t="n">
        <v>705442.96</v>
      </c>
      <c r="E274" s="6" t="n">
        <v>0.0154</v>
      </c>
      <c r="F274" s="7" t="n">
        <v>0.5587</v>
      </c>
      <c r="G274" s="8" t="n">
        <f aca="false">MIN(75, MAX(25, F274*100))</f>
        <v>55.87</v>
      </c>
      <c r="H274" s="9" t="n">
        <f aca="false">E274*G274*D274/100</f>
        <v>6069.6171189808</v>
      </c>
      <c r="I274" s="9" t="n">
        <f aca="false">E274*G274*D274/100</f>
        <v>6069.6171189808</v>
      </c>
      <c r="J274" s="9" t="n">
        <f aca="false">IF(B274=1, H274, I274)</f>
        <v>6069.6171189808</v>
      </c>
      <c r="K274" s="5" t="n">
        <v>6069.62</v>
      </c>
      <c r="L274" s="9" t="n">
        <f aca="false">J274-K274</f>
        <v>-0.00288101920068584</v>
      </c>
    </row>
    <row r="275" customFormat="false" ht="15" hidden="false" customHeight="false" outlineLevel="0" collapsed="false">
      <c r="A275" s="4" t="s">
        <v>284</v>
      </c>
      <c r="B275" s="4" t="n">
        <v>1</v>
      </c>
      <c r="C275" s="5" t="n">
        <v>50664.83</v>
      </c>
      <c r="D275" s="5" t="n">
        <v>51071.03</v>
      </c>
      <c r="E275" s="6" t="n">
        <v>0.0213</v>
      </c>
      <c r="F275" s="7" t="n">
        <v>0.4021</v>
      </c>
      <c r="G275" s="8" t="n">
        <f aca="false">MIN(75, MAX(25, F275*100))</f>
        <v>40.21</v>
      </c>
      <c r="H275" s="9" t="n">
        <f aca="false">E275*G275*D275/100</f>
        <v>437.4095827719</v>
      </c>
      <c r="I275" s="9" t="n">
        <f aca="false">E275*G275*D275/100</f>
        <v>437.4095827719</v>
      </c>
      <c r="J275" s="9" t="n">
        <f aca="false">IF(B275=1, H275, I275)</f>
        <v>437.4095827719</v>
      </c>
      <c r="K275" s="5" t="n">
        <v>437.41</v>
      </c>
      <c r="L275" s="9" t="n">
        <f aca="false">J275-K275</f>
        <v>-0.000417228099991007</v>
      </c>
    </row>
    <row r="276" customFormat="false" ht="15" hidden="false" customHeight="false" outlineLevel="0" collapsed="false">
      <c r="A276" s="4" t="s">
        <v>285</v>
      </c>
      <c r="B276" s="4" t="n">
        <v>1</v>
      </c>
      <c r="C276" s="5" t="n">
        <v>474850.96</v>
      </c>
      <c r="D276" s="5" t="n">
        <v>476698.33</v>
      </c>
      <c r="E276" s="6" t="n">
        <v>0.0163</v>
      </c>
      <c r="F276" s="7" t="n">
        <v>0.3825</v>
      </c>
      <c r="G276" s="8" t="n">
        <f aca="false">MIN(75, MAX(25, F276*100))</f>
        <v>38.25</v>
      </c>
      <c r="H276" s="9" t="n">
        <f aca="false">E276*G276*D276/100</f>
        <v>2972.0949129675</v>
      </c>
      <c r="I276" s="9" t="n">
        <f aca="false">E276*G276*D276/100</f>
        <v>2972.0949129675</v>
      </c>
      <c r="J276" s="9" t="n">
        <f aca="false">IF(B276=1, H276, I276)</f>
        <v>2972.0949129675</v>
      </c>
      <c r="K276" s="5" t="n">
        <v>2972.09</v>
      </c>
      <c r="L276" s="9" t="n">
        <f aca="false">J276-K276</f>
        <v>0.00491296749942194</v>
      </c>
    </row>
    <row r="277" customFormat="false" ht="15" hidden="false" customHeight="false" outlineLevel="0" collapsed="false">
      <c r="A277" s="4" t="s">
        <v>286</v>
      </c>
      <c r="B277" s="4" t="n">
        <v>3</v>
      </c>
      <c r="C277" s="5" t="n">
        <v>0</v>
      </c>
      <c r="D277" s="5" t="n">
        <v>0</v>
      </c>
      <c r="E277" s="6" t="n">
        <v>0.764</v>
      </c>
      <c r="F277" s="7" t="n">
        <v>0.619</v>
      </c>
      <c r="G277" s="8" t="n">
        <f aca="false">MIN(75, MAX(25, F277*100))</f>
        <v>61.9</v>
      </c>
      <c r="H277" s="9" t="n">
        <f aca="false">E277*G277*D277/100</f>
        <v>0</v>
      </c>
      <c r="I277" s="9" t="n">
        <f aca="false">E277*G277*D277/100</f>
        <v>0</v>
      </c>
      <c r="J277" s="9" t="n">
        <f aca="false">IF(B277=1, H277, I277)</f>
        <v>0</v>
      </c>
      <c r="K277" s="5" t="n">
        <v>0</v>
      </c>
      <c r="L277" s="9" t="n">
        <f aca="false">J277-K277</f>
        <v>0</v>
      </c>
    </row>
    <row r="278" customFormat="false" ht="15" hidden="false" customHeight="false" outlineLevel="0" collapsed="false">
      <c r="A278" s="4" t="s">
        <v>287</v>
      </c>
      <c r="B278" s="4" t="n">
        <v>1</v>
      </c>
      <c r="C278" s="5" t="n">
        <v>88252.54</v>
      </c>
      <c r="D278" s="5" t="n">
        <v>90930.46</v>
      </c>
      <c r="E278" s="6" t="n">
        <v>0.0169</v>
      </c>
      <c r="F278" s="7" t="n">
        <v>0.6491</v>
      </c>
      <c r="G278" s="8" t="n">
        <f aca="false">MIN(75, MAX(25, F278*100))</f>
        <v>64.91</v>
      </c>
      <c r="H278" s="9" t="n">
        <f aca="false">E278*G278*D278/100</f>
        <v>997.4880508034</v>
      </c>
      <c r="I278" s="9" t="n">
        <f aca="false">E278*G278*D278/100</f>
        <v>997.4880508034</v>
      </c>
      <c r="J278" s="9" t="n">
        <f aca="false">IF(B278=1, H278, I278)</f>
        <v>997.4880508034</v>
      </c>
      <c r="K278" s="5" t="n">
        <v>997.49</v>
      </c>
      <c r="L278" s="9" t="n">
        <f aca="false">J278-K278</f>
        <v>-0.00194919660009418</v>
      </c>
    </row>
    <row r="279" customFormat="false" ht="15" hidden="false" customHeight="false" outlineLevel="0" collapsed="false">
      <c r="A279" s="4" t="s">
        <v>288</v>
      </c>
      <c r="B279" s="4" t="n">
        <v>1</v>
      </c>
      <c r="C279" s="5" t="n">
        <v>721603.63</v>
      </c>
      <c r="D279" s="5" t="n">
        <v>744140.46</v>
      </c>
      <c r="E279" s="6" t="n">
        <v>0.0193</v>
      </c>
      <c r="F279" s="7" t="n">
        <v>0.5037</v>
      </c>
      <c r="G279" s="8" t="n">
        <f aca="false">MIN(75, MAX(25, F279*100))</f>
        <v>50.37</v>
      </c>
      <c r="H279" s="9" t="n">
        <f aca="false">E279*G279*D279/100</f>
        <v>7234.0945092486</v>
      </c>
      <c r="I279" s="9" t="n">
        <f aca="false">E279*G279*D279/100</f>
        <v>7234.0945092486</v>
      </c>
      <c r="J279" s="9" t="n">
        <f aca="false">IF(B279=1, H279, I279)</f>
        <v>7234.0945092486</v>
      </c>
      <c r="K279" s="5" t="n">
        <v>7234.09</v>
      </c>
      <c r="L279" s="9" t="n">
        <f aca="false">J279-K279</f>
        <v>0.0045092486006979</v>
      </c>
    </row>
    <row r="280" customFormat="false" ht="15" hidden="false" customHeight="false" outlineLevel="0" collapsed="false">
      <c r="A280" s="4" t="s">
        <v>289</v>
      </c>
      <c r="B280" s="4" t="n">
        <v>1</v>
      </c>
      <c r="C280" s="5" t="n">
        <v>123660.63</v>
      </c>
      <c r="D280" s="5" t="n">
        <v>128410.54</v>
      </c>
      <c r="E280" s="6" t="n">
        <v>0.025</v>
      </c>
      <c r="F280" s="7" t="n">
        <v>0.6267</v>
      </c>
      <c r="G280" s="8" t="n">
        <f aca="false">MIN(75, MAX(25, F280*100))</f>
        <v>62.67</v>
      </c>
      <c r="H280" s="9" t="n">
        <f aca="false">E280*G280*D280/100</f>
        <v>2011.87213545</v>
      </c>
      <c r="I280" s="9" t="n">
        <f aca="false">E280*G280*D280/100</f>
        <v>2011.87213545</v>
      </c>
      <c r="J280" s="9" t="n">
        <f aca="false">IF(B280=1, H280, I280)</f>
        <v>2011.87213545</v>
      </c>
      <c r="K280" s="5" t="n">
        <v>2011.87</v>
      </c>
      <c r="L280" s="9" t="n">
        <f aca="false">J280-K280</f>
        <v>0.00213545000019622</v>
      </c>
    </row>
    <row r="281" customFormat="false" ht="15" hidden="false" customHeight="false" outlineLevel="0" collapsed="false">
      <c r="A281" s="4" t="s">
        <v>290</v>
      </c>
      <c r="B281" s="4" t="n">
        <v>1</v>
      </c>
      <c r="C281" s="5" t="n">
        <v>439278.24</v>
      </c>
      <c r="D281" s="5" t="n">
        <v>458469.78</v>
      </c>
      <c r="E281" s="6" t="n">
        <v>0.0173</v>
      </c>
      <c r="F281" s="7" t="n">
        <v>0.3745</v>
      </c>
      <c r="G281" s="8" t="n">
        <f aca="false">MIN(75, MAX(25, F281*100))</f>
        <v>37.45</v>
      </c>
      <c r="H281" s="9" t="n">
        <f aca="false">E281*G281*D281/100</f>
        <v>2970.356934153</v>
      </c>
      <c r="I281" s="9" t="n">
        <f aca="false">E281*G281*D281/100</f>
        <v>2970.356934153</v>
      </c>
      <c r="J281" s="9" t="n">
        <f aca="false">IF(B281=1, H281, I281)</f>
        <v>2970.356934153</v>
      </c>
      <c r="K281" s="5" t="n">
        <v>2970.36</v>
      </c>
      <c r="L281" s="9" t="n">
        <f aca="false">J281-K281</f>
        <v>-0.00306584699956147</v>
      </c>
    </row>
    <row r="282" customFormat="false" ht="15" hidden="false" customHeight="false" outlineLevel="0" collapsed="false">
      <c r="A282" s="4" t="s">
        <v>291</v>
      </c>
      <c r="B282" s="4" t="n">
        <v>1</v>
      </c>
      <c r="C282" s="5" t="n">
        <v>367009.53</v>
      </c>
      <c r="D282" s="5" t="n">
        <v>384145.56</v>
      </c>
      <c r="E282" s="6" t="n">
        <v>0.0142</v>
      </c>
      <c r="F282" s="7" t="n">
        <v>0.619</v>
      </c>
      <c r="G282" s="8" t="n">
        <f aca="false">MIN(75, MAX(25, F282*100))</f>
        <v>61.9</v>
      </c>
      <c r="H282" s="9" t="n">
        <f aca="false">E282*G282*D282/100</f>
        <v>3376.562643288</v>
      </c>
      <c r="I282" s="9" t="n">
        <f aca="false">E282*G282*D282/100</f>
        <v>3376.562643288</v>
      </c>
      <c r="J282" s="9" t="n">
        <f aca="false">IF(B282=1, H282, I282)</f>
        <v>3376.562643288</v>
      </c>
      <c r="K282" s="5" t="n">
        <v>3376.56</v>
      </c>
      <c r="L282" s="9" t="n">
        <f aca="false">J282-K282</f>
        <v>0.00264328799994473</v>
      </c>
    </row>
    <row r="283" customFormat="false" ht="15" hidden="false" customHeight="false" outlineLevel="0" collapsed="false">
      <c r="A283" s="4" t="s">
        <v>292</v>
      </c>
      <c r="B283" s="4" t="n">
        <v>1</v>
      </c>
      <c r="C283" s="5" t="n">
        <v>368585.57</v>
      </c>
      <c r="D283" s="5" t="n">
        <v>376148.7</v>
      </c>
      <c r="E283" s="6" t="n">
        <v>0.0218</v>
      </c>
      <c r="F283" s="7" t="n">
        <v>0.4868</v>
      </c>
      <c r="G283" s="8" t="n">
        <f aca="false">MIN(75, MAX(25, F283*100))</f>
        <v>48.68</v>
      </c>
      <c r="H283" s="9" t="n">
        <f aca="false">E283*G283*D283/100</f>
        <v>3991.780280088</v>
      </c>
      <c r="I283" s="9" t="n">
        <f aca="false">E283*G283*D283/100</f>
        <v>3991.780280088</v>
      </c>
      <c r="J283" s="9" t="n">
        <f aca="false">IF(B283=1, H283, I283)</f>
        <v>3991.780280088</v>
      </c>
      <c r="K283" s="5" t="n">
        <v>3991.78</v>
      </c>
      <c r="L283" s="9" t="n">
        <f aca="false">J283-K283</f>
        <v>0.000280087999726675</v>
      </c>
    </row>
    <row r="284" customFormat="false" ht="15" hidden="false" customHeight="false" outlineLevel="0" collapsed="false">
      <c r="A284" s="4" t="s">
        <v>293</v>
      </c>
      <c r="B284" s="4" t="n">
        <v>1</v>
      </c>
      <c r="C284" s="5" t="n">
        <v>563913.2</v>
      </c>
      <c r="D284" s="5" t="n">
        <v>569887.05</v>
      </c>
      <c r="E284" s="6" t="n">
        <v>0.022</v>
      </c>
      <c r="F284" s="7" t="n">
        <v>0.6055</v>
      </c>
      <c r="G284" s="8" t="n">
        <f aca="false">MIN(75, MAX(25, F284*100))</f>
        <v>60.55</v>
      </c>
      <c r="H284" s="9" t="n">
        <f aca="false">E284*G284*D284/100</f>
        <v>7591.46539305</v>
      </c>
      <c r="I284" s="9" t="n">
        <f aca="false">E284*G284*D284/100</f>
        <v>7591.46539305</v>
      </c>
      <c r="J284" s="9" t="n">
        <f aca="false">IF(B284=1, H284, I284)</f>
        <v>7591.46539305</v>
      </c>
      <c r="K284" s="5" t="n">
        <v>7591.47</v>
      </c>
      <c r="L284" s="9" t="n">
        <f aca="false">J284-K284</f>
        <v>-0.00460694999947009</v>
      </c>
    </row>
    <row r="285" customFormat="false" ht="15" hidden="false" customHeight="false" outlineLevel="0" collapsed="false">
      <c r="A285" s="4" t="s">
        <v>294</v>
      </c>
      <c r="B285" s="4" t="n">
        <v>1</v>
      </c>
      <c r="C285" s="5" t="n">
        <v>305698.72</v>
      </c>
      <c r="D285" s="5" t="n">
        <v>312271.54</v>
      </c>
      <c r="E285" s="6" t="n">
        <v>0.016</v>
      </c>
      <c r="F285" s="7" t="n">
        <v>0.5217</v>
      </c>
      <c r="G285" s="8" t="n">
        <f aca="false">MIN(75, MAX(25, F285*100))</f>
        <v>52.17</v>
      </c>
      <c r="H285" s="9" t="n">
        <f aca="false">E285*G285*D285/100</f>
        <v>2606.592998688</v>
      </c>
      <c r="I285" s="9" t="n">
        <f aca="false">E285*G285*D285/100</f>
        <v>2606.592998688</v>
      </c>
      <c r="J285" s="9" t="n">
        <f aca="false">IF(B285=1, H285, I285)</f>
        <v>2606.592998688</v>
      </c>
      <c r="K285" s="5" t="n">
        <v>2606.59</v>
      </c>
      <c r="L285" s="9" t="n">
        <f aca="false">J285-K285</f>
        <v>0.00299868799947944</v>
      </c>
    </row>
    <row r="286" customFormat="false" ht="15" hidden="false" customHeight="false" outlineLevel="0" collapsed="false">
      <c r="A286" s="4" t="s">
        <v>295</v>
      </c>
      <c r="B286" s="4" t="n">
        <v>1</v>
      </c>
      <c r="C286" s="5" t="n">
        <v>1938341.85</v>
      </c>
      <c r="D286" s="5" t="n">
        <v>2027563.18</v>
      </c>
      <c r="E286" s="6" t="n">
        <v>0.0143</v>
      </c>
      <c r="F286" s="7" t="n">
        <v>0.5623</v>
      </c>
      <c r="G286" s="8" t="n">
        <f aca="false">MIN(75, MAX(25, F286*100))</f>
        <v>56.23</v>
      </c>
      <c r="H286" s="9" t="n">
        <f aca="false">E286*G286*D286/100</f>
        <v>16303.4124984302</v>
      </c>
      <c r="I286" s="9" t="n">
        <f aca="false">E286*G286*D286/100</f>
        <v>16303.4124984302</v>
      </c>
      <c r="J286" s="9" t="n">
        <f aca="false">IF(B286=1, H286, I286)</f>
        <v>16303.4124984302</v>
      </c>
      <c r="K286" s="5" t="n">
        <v>16303.41</v>
      </c>
      <c r="L286" s="9" t="n">
        <f aca="false">J286-K286</f>
        <v>0.00249843019992113</v>
      </c>
    </row>
    <row r="287" customFormat="false" ht="15" hidden="false" customHeight="false" outlineLevel="0" collapsed="false">
      <c r="A287" s="4" t="s">
        <v>296</v>
      </c>
      <c r="B287" s="4" t="n">
        <v>1</v>
      </c>
      <c r="C287" s="5" t="n">
        <v>459479.07</v>
      </c>
      <c r="D287" s="5" t="n">
        <v>461791.9</v>
      </c>
      <c r="E287" s="6" t="n">
        <v>0.025</v>
      </c>
      <c r="F287" s="7" t="n">
        <v>0.4124</v>
      </c>
      <c r="G287" s="8" t="n">
        <f aca="false">MIN(75, MAX(25, F287*100))</f>
        <v>41.24</v>
      </c>
      <c r="H287" s="9" t="n">
        <f aca="false">E287*G287*D287/100</f>
        <v>4761.074489</v>
      </c>
      <c r="I287" s="9" t="n">
        <f aca="false">E287*G287*D287/100</f>
        <v>4761.074489</v>
      </c>
      <c r="J287" s="9" t="n">
        <f aca="false">IF(B287=1, H287, I287)</f>
        <v>4761.074489</v>
      </c>
      <c r="K287" s="5" t="n">
        <v>4761.07</v>
      </c>
      <c r="L287" s="9" t="n">
        <f aca="false">J287-K287</f>
        <v>0.00448900000083086</v>
      </c>
    </row>
    <row r="288" customFormat="false" ht="15" hidden="false" customHeight="false" outlineLevel="0" collapsed="false">
      <c r="A288" s="4" t="s">
        <v>297</v>
      </c>
      <c r="B288" s="4" t="n">
        <v>1</v>
      </c>
      <c r="C288" s="5" t="n">
        <v>1042584.65</v>
      </c>
      <c r="D288" s="5" t="n">
        <v>1089426.54</v>
      </c>
      <c r="E288" s="6" t="n">
        <v>0.0166</v>
      </c>
      <c r="F288" s="7" t="n">
        <v>0.4595</v>
      </c>
      <c r="G288" s="8" t="n">
        <f aca="false">MIN(75, MAX(25, F288*100))</f>
        <v>45.95</v>
      </c>
      <c r="H288" s="9" t="n">
        <f aca="false">E288*G288*D288/100</f>
        <v>8309.818819158</v>
      </c>
      <c r="I288" s="9" t="n">
        <f aca="false">E288*G288*D288/100</f>
        <v>8309.818819158</v>
      </c>
      <c r="J288" s="9" t="n">
        <f aca="false">IF(B288=1, H288, I288)</f>
        <v>8309.818819158</v>
      </c>
      <c r="K288" s="5" t="n">
        <v>8309.82</v>
      </c>
      <c r="L288" s="9" t="n">
        <f aca="false">J288-K288</f>
        <v>-0.00118084199857549</v>
      </c>
    </row>
    <row r="289" customFormat="false" ht="15" hidden="false" customHeight="false" outlineLevel="0" collapsed="false">
      <c r="A289" s="4" t="s">
        <v>298</v>
      </c>
      <c r="B289" s="4" t="n">
        <v>1</v>
      </c>
      <c r="C289" s="5" t="n">
        <v>970764.56</v>
      </c>
      <c r="D289" s="5" t="n">
        <v>986236.06</v>
      </c>
      <c r="E289" s="6" t="n">
        <v>0.0212</v>
      </c>
      <c r="F289" s="7" t="n">
        <v>0.4315</v>
      </c>
      <c r="G289" s="8" t="n">
        <f aca="false">MIN(75, MAX(25, F289*100))</f>
        <v>43.15</v>
      </c>
      <c r="H289" s="9" t="n">
        <f aca="false">E289*G289*D289/100</f>
        <v>9021.890229668</v>
      </c>
      <c r="I289" s="9" t="n">
        <f aca="false">E289*G289*D289/100</f>
        <v>9021.890229668</v>
      </c>
      <c r="J289" s="9" t="n">
        <f aca="false">IF(B289=1, H289, I289)</f>
        <v>9021.890229668</v>
      </c>
      <c r="K289" s="5" t="n">
        <v>9021.89</v>
      </c>
      <c r="L289" s="9" t="n">
        <f aca="false">J289-K289</f>
        <v>0.000229668001338723</v>
      </c>
    </row>
    <row r="290" customFormat="false" ht="15" hidden="false" customHeight="false" outlineLevel="0" collapsed="false">
      <c r="A290" s="4" t="s">
        <v>299</v>
      </c>
      <c r="B290" s="4" t="n">
        <v>1</v>
      </c>
      <c r="C290" s="5" t="n">
        <v>371001.75</v>
      </c>
      <c r="D290" s="5" t="n">
        <v>374967.25</v>
      </c>
      <c r="E290" s="6" t="n">
        <v>0.0223</v>
      </c>
      <c r="F290" s="7" t="n">
        <v>0.565</v>
      </c>
      <c r="G290" s="8" t="n">
        <f aca="false">MIN(75, MAX(25, F290*100))</f>
        <v>56.5</v>
      </c>
      <c r="H290" s="9" t="n">
        <f aca="false">E290*G290*D290/100</f>
        <v>4724.399866375</v>
      </c>
      <c r="I290" s="9" t="n">
        <f aca="false">E290*G290*D290/100</f>
        <v>4724.399866375</v>
      </c>
      <c r="J290" s="9" t="n">
        <f aca="false">IF(B290=1, H290, I290)</f>
        <v>4724.399866375</v>
      </c>
      <c r="K290" s="5" t="n">
        <v>4724.4</v>
      </c>
      <c r="L290" s="9" t="n">
        <f aca="false">J290-K290</f>
        <v>-0.0001336250006716</v>
      </c>
    </row>
    <row r="291" customFormat="false" ht="15" hidden="false" customHeight="false" outlineLevel="0" collapsed="false">
      <c r="A291" s="4" t="s">
        <v>300</v>
      </c>
      <c r="B291" s="4" t="n">
        <v>1</v>
      </c>
      <c r="C291" s="5" t="n">
        <v>582383.39</v>
      </c>
      <c r="D291" s="5" t="n">
        <v>606891.33</v>
      </c>
      <c r="E291" s="6" t="n">
        <v>0.0249</v>
      </c>
      <c r="F291" s="7" t="n">
        <v>0.4353</v>
      </c>
      <c r="G291" s="8" t="n">
        <f aca="false">MIN(75, MAX(25, F291*100))</f>
        <v>43.53</v>
      </c>
      <c r="H291" s="9" t="n">
        <f aca="false">E291*G291*D291/100</f>
        <v>6578.0769191301</v>
      </c>
      <c r="I291" s="9" t="n">
        <f aca="false">E291*G291*D291/100</f>
        <v>6578.0769191301</v>
      </c>
      <c r="J291" s="9" t="n">
        <f aca="false">IF(B291=1, H291, I291)</f>
        <v>6578.0769191301</v>
      </c>
      <c r="K291" s="5" t="n">
        <v>6578.08</v>
      </c>
      <c r="L291" s="9" t="n">
        <f aca="false">J291-K291</f>
        <v>-0.00308086990116863</v>
      </c>
    </row>
    <row r="292" customFormat="false" ht="15" hidden="false" customHeight="false" outlineLevel="0" collapsed="false">
      <c r="A292" s="4" t="s">
        <v>301</v>
      </c>
      <c r="B292" s="4" t="n">
        <v>1</v>
      </c>
      <c r="C292" s="5" t="n">
        <v>309133.37</v>
      </c>
      <c r="D292" s="5" t="n">
        <v>321688.54</v>
      </c>
      <c r="E292" s="6" t="n">
        <v>0.0151</v>
      </c>
      <c r="F292" s="7" t="n">
        <v>0.5672</v>
      </c>
      <c r="G292" s="8" t="n">
        <f aca="false">MIN(75, MAX(25, F292*100))</f>
        <v>56.72</v>
      </c>
      <c r="H292" s="9" t="n">
        <f aca="false">E292*G292*D292/100</f>
        <v>2755.1722723088</v>
      </c>
      <c r="I292" s="9" t="n">
        <f aca="false">E292*G292*D292/100</f>
        <v>2755.1722723088</v>
      </c>
      <c r="J292" s="9" t="n">
        <f aca="false">IF(B292=1, H292, I292)</f>
        <v>2755.1722723088</v>
      </c>
      <c r="K292" s="5" t="n">
        <v>2755.17</v>
      </c>
      <c r="L292" s="9" t="n">
        <f aca="false">J292-K292</f>
        <v>0.00227230880000207</v>
      </c>
    </row>
    <row r="293" customFormat="false" ht="15" hidden="false" customHeight="false" outlineLevel="0" collapsed="false">
      <c r="A293" s="4" t="s">
        <v>302</v>
      </c>
      <c r="B293" s="4" t="n">
        <v>1</v>
      </c>
      <c r="C293" s="5" t="n">
        <v>179909.08</v>
      </c>
      <c r="D293" s="5" t="n">
        <v>180734.86</v>
      </c>
      <c r="E293" s="6" t="n">
        <v>0.0233</v>
      </c>
      <c r="F293" s="7" t="n">
        <v>0.4948</v>
      </c>
      <c r="G293" s="8" t="n">
        <f aca="false">MIN(75, MAX(25, F293*100))</f>
        <v>49.48</v>
      </c>
      <c r="H293" s="9" t="n">
        <f aca="false">E293*G293*D293/100</f>
        <v>2083.6632833624</v>
      </c>
      <c r="I293" s="9" t="n">
        <f aca="false">E293*G293*D293/100</f>
        <v>2083.6632833624</v>
      </c>
      <c r="J293" s="9" t="n">
        <f aca="false">IF(B293=1, H293, I293)</f>
        <v>2083.6632833624</v>
      </c>
      <c r="K293" s="5" t="n">
        <v>2083.66</v>
      </c>
      <c r="L293" s="9" t="n">
        <f aca="false">J293-K293</f>
        <v>0.00328336240045246</v>
      </c>
    </row>
    <row r="294" customFormat="false" ht="15" hidden="false" customHeight="false" outlineLevel="0" collapsed="false">
      <c r="A294" s="4" t="s">
        <v>303</v>
      </c>
      <c r="B294" s="4" t="n">
        <v>1</v>
      </c>
      <c r="C294" s="5" t="n">
        <v>228540.42</v>
      </c>
      <c r="D294" s="5" t="n">
        <v>235630.64</v>
      </c>
      <c r="E294" s="6" t="n">
        <v>0.0186</v>
      </c>
      <c r="F294" s="7" t="n">
        <v>0.4857</v>
      </c>
      <c r="G294" s="8" t="n">
        <f aca="false">MIN(75, MAX(25, F294*100))</f>
        <v>48.57</v>
      </c>
      <c r="H294" s="9" t="n">
        <f aca="false">E294*G294*D294/100</f>
        <v>2128.6919143728</v>
      </c>
      <c r="I294" s="9" t="n">
        <f aca="false">E294*G294*D294/100</f>
        <v>2128.6919143728</v>
      </c>
      <c r="J294" s="9" t="n">
        <f aca="false">IF(B294=1, H294, I294)</f>
        <v>2128.6919143728</v>
      </c>
      <c r="K294" s="5" t="n">
        <v>2128.69</v>
      </c>
      <c r="L294" s="9" t="n">
        <f aca="false">J294-K294</f>
        <v>0.00191437280000173</v>
      </c>
    </row>
    <row r="295" customFormat="false" ht="15" hidden="false" customHeight="false" outlineLevel="0" collapsed="false">
      <c r="A295" s="4" t="s">
        <v>304</v>
      </c>
      <c r="B295" s="4" t="n">
        <v>1</v>
      </c>
      <c r="C295" s="5" t="n">
        <v>549091.17</v>
      </c>
      <c r="D295" s="5" t="n">
        <v>574569.55</v>
      </c>
      <c r="E295" s="6" t="n">
        <v>0.0146</v>
      </c>
      <c r="F295" s="7" t="n">
        <v>0.4648</v>
      </c>
      <c r="G295" s="8" t="n">
        <f aca="false">MIN(75, MAX(25, F295*100))</f>
        <v>46.48</v>
      </c>
      <c r="H295" s="9" t="n">
        <f aca="false">E295*G295*D295/100</f>
        <v>3899.074931864</v>
      </c>
      <c r="I295" s="9" t="n">
        <f aca="false">E295*G295*D295/100</f>
        <v>3899.074931864</v>
      </c>
      <c r="J295" s="9" t="n">
        <f aca="false">IF(B295=1, H295, I295)</f>
        <v>3899.074931864</v>
      </c>
      <c r="K295" s="5" t="n">
        <v>3899.07</v>
      </c>
      <c r="L295" s="9" t="n">
        <f aca="false">J295-K295</f>
        <v>0.00493186400035484</v>
      </c>
    </row>
    <row r="296" customFormat="false" ht="15" hidden="false" customHeight="false" outlineLevel="0" collapsed="false">
      <c r="A296" s="4" t="s">
        <v>305</v>
      </c>
      <c r="B296" s="4" t="n">
        <v>1</v>
      </c>
      <c r="C296" s="5" t="n">
        <v>900738.09</v>
      </c>
      <c r="D296" s="5" t="n">
        <v>913707.76</v>
      </c>
      <c r="E296" s="6" t="n">
        <v>0.0216</v>
      </c>
      <c r="F296" s="7" t="n">
        <v>0.5618</v>
      </c>
      <c r="G296" s="8" t="n">
        <f aca="false">MIN(75, MAX(25, F296*100))</f>
        <v>56.18</v>
      </c>
      <c r="H296" s="9" t="n">
        <f aca="false">E296*G296*D296/100</f>
        <v>11087.7340226688</v>
      </c>
      <c r="I296" s="9" t="n">
        <f aca="false">E296*G296*D296/100</f>
        <v>11087.7340226688</v>
      </c>
      <c r="J296" s="9" t="n">
        <f aca="false">IF(B296=1, H296, I296)</f>
        <v>11087.7340226688</v>
      </c>
      <c r="K296" s="5" t="n">
        <v>11087.73</v>
      </c>
      <c r="L296" s="9" t="n">
        <f aca="false">J296-K296</f>
        <v>0.00402266880155366</v>
      </c>
    </row>
    <row r="297" customFormat="false" ht="15" hidden="false" customHeight="false" outlineLevel="0" collapsed="false">
      <c r="A297" s="4" t="s">
        <v>306</v>
      </c>
      <c r="B297" s="4" t="n">
        <v>1</v>
      </c>
      <c r="C297" s="5" t="n">
        <v>312164</v>
      </c>
      <c r="D297" s="5" t="n">
        <v>314775.33</v>
      </c>
      <c r="E297" s="6" t="n">
        <v>0.024</v>
      </c>
      <c r="F297" s="7" t="n">
        <v>0.5076</v>
      </c>
      <c r="G297" s="8" t="n">
        <f aca="false">MIN(75, MAX(25, F297*100))</f>
        <v>50.76</v>
      </c>
      <c r="H297" s="9" t="n">
        <f aca="false">E297*G297*D297/100</f>
        <v>3834.718980192</v>
      </c>
      <c r="I297" s="9" t="n">
        <f aca="false">E297*G297*D297/100</f>
        <v>3834.718980192</v>
      </c>
      <c r="J297" s="9" t="n">
        <f aca="false">IF(B297=1, H297, I297)</f>
        <v>3834.718980192</v>
      </c>
      <c r="K297" s="5" t="n">
        <v>3834.72</v>
      </c>
      <c r="L297" s="9" t="n">
        <f aca="false">J297-K297</f>
        <v>-0.00101980799900048</v>
      </c>
    </row>
    <row r="298" customFormat="false" ht="15" hidden="false" customHeight="false" outlineLevel="0" collapsed="false">
      <c r="A298" s="4" t="s">
        <v>307</v>
      </c>
      <c r="B298" s="4" t="n">
        <v>3</v>
      </c>
      <c r="C298" s="5" t="n">
        <v>649179.73</v>
      </c>
      <c r="D298" s="5" t="n">
        <v>677650.94</v>
      </c>
      <c r="E298" s="6" t="n">
        <v>0.9208</v>
      </c>
      <c r="F298" s="7" t="n">
        <v>0.6396</v>
      </c>
      <c r="G298" s="8" t="n">
        <f aca="false">MIN(75, MAX(25, F298*100))</f>
        <v>63.96</v>
      </c>
      <c r="H298" s="9" t="n">
        <f aca="false">E298*G298*D298/100</f>
        <v>399098.238359059</v>
      </c>
      <c r="I298" s="9" t="n">
        <f aca="false">E298*G298*D298/100</f>
        <v>399098.238359059</v>
      </c>
      <c r="J298" s="9" t="n">
        <f aca="false">IF(B298=1, H298, I298)</f>
        <v>399098.238359059</v>
      </c>
      <c r="K298" s="5" t="n">
        <v>399098.24</v>
      </c>
      <c r="L298" s="9" t="n">
        <f aca="false">J298-K298</f>
        <v>-0.0016409408999607</v>
      </c>
    </row>
    <row r="299" customFormat="false" ht="15" hidden="false" customHeight="false" outlineLevel="0" collapsed="false">
      <c r="A299" s="4" t="s">
        <v>308</v>
      </c>
      <c r="B299" s="4" t="n">
        <v>1</v>
      </c>
      <c r="C299" s="5" t="n">
        <v>760045.31</v>
      </c>
      <c r="D299" s="5" t="n">
        <v>790438.95</v>
      </c>
      <c r="E299" s="6" t="n">
        <v>0.0176</v>
      </c>
      <c r="F299" s="7" t="n">
        <v>0.4365</v>
      </c>
      <c r="G299" s="8" t="n">
        <f aca="false">MIN(75, MAX(25, F299*100))</f>
        <v>43.65</v>
      </c>
      <c r="H299" s="9" t="n">
        <f aca="false">E299*G299*D299/100</f>
        <v>6072.46818948</v>
      </c>
      <c r="I299" s="9" t="n">
        <f aca="false">E299*G299*D299/100</f>
        <v>6072.46818948</v>
      </c>
      <c r="J299" s="9" t="n">
        <f aca="false">IF(B299=1, H299, I299)</f>
        <v>6072.46818948</v>
      </c>
      <c r="K299" s="5" t="n">
        <v>6072.47</v>
      </c>
      <c r="L299" s="9" t="n">
        <f aca="false">J299-K299</f>
        <v>-0.00181052000061754</v>
      </c>
    </row>
    <row r="300" customFormat="false" ht="15" hidden="false" customHeight="false" outlineLevel="0" collapsed="false">
      <c r="A300" s="4" t="s">
        <v>309</v>
      </c>
      <c r="B300" s="4" t="n">
        <v>1</v>
      </c>
      <c r="C300" s="5" t="n">
        <v>926771.45</v>
      </c>
      <c r="D300" s="5" t="n">
        <v>934802.02</v>
      </c>
      <c r="E300" s="6" t="n">
        <v>0.025</v>
      </c>
      <c r="F300" s="7" t="n">
        <v>0.5291</v>
      </c>
      <c r="G300" s="8" t="n">
        <f aca="false">MIN(75, MAX(25, F300*100))</f>
        <v>52.91</v>
      </c>
      <c r="H300" s="9" t="n">
        <f aca="false">E300*G300*D300/100</f>
        <v>12365.09371955</v>
      </c>
      <c r="I300" s="9" t="n">
        <f aca="false">E300*G300*D300/100</f>
        <v>12365.09371955</v>
      </c>
      <c r="J300" s="9" t="n">
        <f aca="false">IF(B300=1, H300, I300)</f>
        <v>12365.09371955</v>
      </c>
      <c r="K300" s="5" t="n">
        <v>12365.09</v>
      </c>
      <c r="L300" s="9" t="n">
        <f aca="false">J300-K300</f>
        <v>0.0037195500008238</v>
      </c>
    </row>
    <row r="301" customFormat="false" ht="15" hidden="false" customHeight="false" outlineLevel="0" collapsed="false">
      <c r="A301" s="4" t="s">
        <v>310</v>
      </c>
      <c r="B301" s="4" t="n">
        <v>2</v>
      </c>
      <c r="C301" s="5" t="n">
        <v>385897.06</v>
      </c>
      <c r="D301" s="5" t="n">
        <v>390578.87</v>
      </c>
      <c r="E301" s="6" t="n">
        <v>0.1283</v>
      </c>
      <c r="F301" s="7" t="n">
        <v>0.4407</v>
      </c>
      <c r="G301" s="8" t="n">
        <f aca="false">MIN(75, MAX(25, F301*100))</f>
        <v>44.07</v>
      </c>
      <c r="H301" s="9" t="n">
        <f aca="false">E301*G301*D301/100</f>
        <v>22084.0362575547</v>
      </c>
      <c r="I301" s="9" t="n">
        <f aca="false">E301*G301*D301/100</f>
        <v>22084.0362575547</v>
      </c>
      <c r="J301" s="9" t="n">
        <f aca="false">IF(B301=1, H301, I301)</f>
        <v>22084.0362575547</v>
      </c>
      <c r="K301" s="5" t="n">
        <v>22084.04</v>
      </c>
      <c r="L301" s="9" t="n">
        <f aca="false">J301-K301</f>
        <v>-0.00374244529666612</v>
      </c>
    </row>
    <row r="302" customFormat="false" ht="15" hidden="false" customHeight="false" outlineLevel="0" collapsed="false">
      <c r="A302" s="4" t="s">
        <v>311</v>
      </c>
      <c r="B302" s="4" t="n">
        <v>1</v>
      </c>
      <c r="C302" s="5" t="n">
        <v>1814324.92</v>
      </c>
      <c r="D302" s="5" t="n">
        <v>1872353.21</v>
      </c>
      <c r="E302" s="6" t="n">
        <v>0.0156</v>
      </c>
      <c r="F302" s="7" t="n">
        <v>0.6185</v>
      </c>
      <c r="G302" s="8" t="n">
        <f aca="false">MIN(75, MAX(25, F302*100))</f>
        <v>61.85</v>
      </c>
      <c r="H302" s="9" t="n">
        <f aca="false">E302*G302*D302/100</f>
        <v>18065.587182006</v>
      </c>
      <c r="I302" s="9" t="n">
        <f aca="false">E302*G302*D302/100</f>
        <v>18065.587182006</v>
      </c>
      <c r="J302" s="9" t="n">
        <f aca="false">IF(B302=1, H302, I302)</f>
        <v>18065.587182006</v>
      </c>
      <c r="K302" s="5" t="n">
        <v>18065.59</v>
      </c>
      <c r="L302" s="9" t="n">
        <f aca="false">J302-K302</f>
        <v>-0.00281799400181626</v>
      </c>
    </row>
    <row r="303" customFormat="false" ht="15" hidden="false" customHeight="false" outlineLevel="0" collapsed="false">
      <c r="A303" s="4" t="s">
        <v>312</v>
      </c>
      <c r="B303" s="4" t="n">
        <v>1</v>
      </c>
      <c r="C303" s="5" t="n">
        <v>702435.78</v>
      </c>
      <c r="D303" s="5" t="n">
        <v>708433.72</v>
      </c>
      <c r="E303" s="6" t="n">
        <v>0.0238</v>
      </c>
      <c r="F303" s="7" t="n">
        <v>0.5472</v>
      </c>
      <c r="G303" s="8" t="n">
        <f aca="false">MIN(75, MAX(25, F303*100))</f>
        <v>54.72</v>
      </c>
      <c r="H303" s="9" t="n">
        <f aca="false">E303*G303*D303/100</f>
        <v>9226.1873716992</v>
      </c>
      <c r="I303" s="9" t="n">
        <f aca="false">E303*G303*D303/100</f>
        <v>9226.1873716992</v>
      </c>
      <c r="J303" s="9" t="n">
        <f aca="false">IF(B303=1, H303, I303)</f>
        <v>9226.1873716992</v>
      </c>
      <c r="K303" s="5" t="n">
        <v>9226.19</v>
      </c>
      <c r="L303" s="9" t="n">
        <f aca="false">J303-K303</f>
        <v>-0.00262830079918786</v>
      </c>
    </row>
    <row r="304" customFormat="false" ht="15" hidden="false" customHeight="false" outlineLevel="0" collapsed="false">
      <c r="A304" s="4" t="s">
        <v>313</v>
      </c>
      <c r="B304" s="4" t="n">
        <v>1</v>
      </c>
      <c r="C304" s="5" t="n">
        <v>1431926.61</v>
      </c>
      <c r="D304" s="5" t="n">
        <v>1457540.03</v>
      </c>
      <c r="E304" s="6" t="n">
        <v>0.0173</v>
      </c>
      <c r="F304" s="7" t="n">
        <v>0.6445</v>
      </c>
      <c r="G304" s="8" t="n">
        <f aca="false">MIN(75, MAX(25, F304*100))</f>
        <v>64.45</v>
      </c>
      <c r="H304" s="9" t="n">
        <f aca="false">E304*G304*D304/100</f>
        <v>16251.3527034955</v>
      </c>
      <c r="I304" s="9" t="n">
        <f aca="false">E304*G304*D304/100</f>
        <v>16251.3527034955</v>
      </c>
      <c r="J304" s="9" t="n">
        <f aca="false">IF(B304=1, H304, I304)</f>
        <v>16251.3527034955</v>
      </c>
      <c r="K304" s="5" t="n">
        <v>16251.35</v>
      </c>
      <c r="L304" s="9" t="n">
        <f aca="false">J304-K304</f>
        <v>0.00270349550191895</v>
      </c>
    </row>
    <row r="305" customFormat="false" ht="15" hidden="false" customHeight="false" outlineLevel="0" collapsed="false">
      <c r="A305" s="4" t="s">
        <v>314</v>
      </c>
      <c r="B305" s="4" t="n">
        <v>1</v>
      </c>
      <c r="C305" s="5" t="n">
        <v>134973.19</v>
      </c>
      <c r="D305" s="5" t="n">
        <v>135429.2</v>
      </c>
      <c r="E305" s="6" t="n">
        <v>0.021</v>
      </c>
      <c r="F305" s="7" t="n">
        <v>0.599</v>
      </c>
      <c r="G305" s="8" t="n">
        <f aca="false">MIN(75, MAX(25, F305*100))</f>
        <v>59.9</v>
      </c>
      <c r="H305" s="9" t="n">
        <f aca="false">E305*G305*D305/100</f>
        <v>1703.5639068</v>
      </c>
      <c r="I305" s="9" t="n">
        <f aca="false">E305*G305*D305/100</f>
        <v>1703.5639068</v>
      </c>
      <c r="J305" s="9" t="n">
        <f aca="false">IF(B305=1, H305, I305)</f>
        <v>1703.5639068</v>
      </c>
      <c r="K305" s="5" t="n">
        <v>1703.56</v>
      </c>
      <c r="L305" s="9" t="n">
        <f aca="false">J305-K305</f>
        <v>0.00390680000009525</v>
      </c>
    </row>
    <row r="306" customFormat="false" ht="15" hidden="false" customHeight="false" outlineLevel="0" collapsed="false">
      <c r="A306" s="4" t="s">
        <v>315</v>
      </c>
      <c r="B306" s="4" t="n">
        <v>2</v>
      </c>
      <c r="C306" s="5" t="n">
        <v>630667.69</v>
      </c>
      <c r="D306" s="5" t="n">
        <v>644355.17</v>
      </c>
      <c r="E306" s="6" t="n">
        <v>0.1002</v>
      </c>
      <c r="F306" s="7" t="n">
        <v>0.5726</v>
      </c>
      <c r="G306" s="8" t="n">
        <f aca="false">MIN(75, MAX(25, F306*100))</f>
        <v>57.26</v>
      </c>
      <c r="H306" s="9" t="n">
        <f aca="false">E306*G306*D306/100</f>
        <v>36969.5685882684</v>
      </c>
      <c r="I306" s="9" t="n">
        <f aca="false">E306*G306*D306/100</f>
        <v>36969.5685882684</v>
      </c>
      <c r="J306" s="9" t="n">
        <f aca="false">IF(B306=1, H306, I306)</f>
        <v>36969.5685882684</v>
      </c>
      <c r="K306" s="5" t="n">
        <v>36969.57</v>
      </c>
      <c r="L306" s="9" t="n">
        <f aca="false">J306-K306</f>
        <v>-0.00141173160227481</v>
      </c>
    </row>
    <row r="307" customFormat="false" ht="15" hidden="false" customHeight="false" outlineLevel="0" collapsed="false">
      <c r="A307" s="4" t="s">
        <v>316</v>
      </c>
      <c r="B307" s="4" t="n">
        <v>1</v>
      </c>
      <c r="C307" s="5" t="n">
        <v>248289.8</v>
      </c>
      <c r="D307" s="5" t="n">
        <v>254711.16</v>
      </c>
      <c r="E307" s="6" t="n">
        <v>0.0208</v>
      </c>
      <c r="F307" s="7" t="n">
        <v>0.3882</v>
      </c>
      <c r="G307" s="8" t="n">
        <f aca="false">MIN(75, MAX(25, F307*100))</f>
        <v>38.82</v>
      </c>
      <c r="H307" s="9" t="n">
        <f aca="false">E307*G307*D307/100</f>
        <v>2056.6805440896</v>
      </c>
      <c r="I307" s="9" t="n">
        <f aca="false">E307*G307*D307/100</f>
        <v>2056.6805440896</v>
      </c>
      <c r="J307" s="9" t="n">
        <f aca="false">IF(B307=1, H307, I307)</f>
        <v>2056.6805440896</v>
      </c>
      <c r="K307" s="5" t="n">
        <v>2056.68</v>
      </c>
      <c r="L307" s="9" t="n">
        <f aca="false">J307-K307</f>
        <v>0.000544089600225561</v>
      </c>
    </row>
    <row r="308" customFormat="false" ht="15" hidden="false" customHeight="false" outlineLevel="0" collapsed="false">
      <c r="A308" s="4" t="s">
        <v>317</v>
      </c>
      <c r="B308" s="4" t="n">
        <v>2</v>
      </c>
      <c r="C308" s="5" t="n">
        <v>399896.71</v>
      </c>
      <c r="D308" s="5" t="n">
        <v>417457.58</v>
      </c>
      <c r="E308" s="6" t="n">
        <v>0.1505</v>
      </c>
      <c r="F308" s="7" t="n">
        <v>0.549</v>
      </c>
      <c r="G308" s="8" t="n">
        <f aca="false">MIN(75, MAX(25, F308*100))</f>
        <v>54.9</v>
      </c>
      <c r="H308" s="9" t="n">
        <f aca="false">E308*G308*D308/100</f>
        <v>34492.22381871</v>
      </c>
      <c r="I308" s="9" t="n">
        <f aca="false">E308*G308*D308/100</f>
        <v>34492.22381871</v>
      </c>
      <c r="J308" s="9" t="n">
        <f aca="false">IF(B308=1, H308, I308)</f>
        <v>34492.22381871</v>
      </c>
      <c r="K308" s="5" t="n">
        <v>34492.22</v>
      </c>
      <c r="L308" s="9" t="n">
        <f aca="false">J308-K308</f>
        <v>0.00381870999990497</v>
      </c>
    </row>
    <row r="309" customFormat="false" ht="15" hidden="false" customHeight="false" outlineLevel="0" collapsed="false">
      <c r="A309" s="4" t="s">
        <v>318</v>
      </c>
      <c r="B309" s="4" t="n">
        <v>1</v>
      </c>
      <c r="C309" s="5" t="n">
        <v>111995</v>
      </c>
      <c r="D309" s="5" t="n">
        <v>116282.63</v>
      </c>
      <c r="E309" s="6" t="n">
        <v>0.0206</v>
      </c>
      <c r="F309" s="7" t="n">
        <v>0.3656</v>
      </c>
      <c r="G309" s="8" t="n">
        <f aca="false">MIN(75, MAX(25, F309*100))</f>
        <v>36.56</v>
      </c>
      <c r="H309" s="9" t="n">
        <f aca="false">E309*G309*D309/100</f>
        <v>875.7663482768</v>
      </c>
      <c r="I309" s="9" t="n">
        <f aca="false">E309*G309*D309/100</f>
        <v>875.7663482768</v>
      </c>
      <c r="J309" s="9" t="n">
        <f aca="false">IF(B309=1, H309, I309)</f>
        <v>875.7663482768</v>
      </c>
      <c r="K309" s="5" t="n">
        <v>875.77</v>
      </c>
      <c r="L309" s="9" t="n">
        <f aca="false">J309-K309</f>
        <v>-0.00365172320005058</v>
      </c>
    </row>
    <row r="310" customFormat="false" ht="15" hidden="false" customHeight="false" outlineLevel="0" collapsed="false">
      <c r="A310" s="4" t="s">
        <v>319</v>
      </c>
      <c r="B310" s="4" t="n">
        <v>1</v>
      </c>
      <c r="C310" s="5" t="n">
        <v>1860416.13</v>
      </c>
      <c r="D310" s="5" t="n">
        <v>1921585.01</v>
      </c>
      <c r="E310" s="6" t="n">
        <v>0.0156</v>
      </c>
      <c r="F310" s="7" t="n">
        <v>0.4693</v>
      </c>
      <c r="G310" s="8" t="n">
        <f aca="false">MIN(75, MAX(25, F310*100))</f>
        <v>46.93</v>
      </c>
      <c r="H310" s="9" t="n">
        <f aca="false">E310*G310*D310/100</f>
        <v>14068.0775850108</v>
      </c>
      <c r="I310" s="9" t="n">
        <f aca="false">E310*G310*D310/100</f>
        <v>14068.0775850108</v>
      </c>
      <c r="J310" s="9" t="n">
        <f aca="false">IF(B310=1, H310, I310)</f>
        <v>14068.0775850108</v>
      </c>
      <c r="K310" s="5" t="n">
        <v>14068.08</v>
      </c>
      <c r="L310" s="9" t="n">
        <f aca="false">J310-K310</f>
        <v>-0.00241498920149752</v>
      </c>
    </row>
    <row r="311" customFormat="false" ht="15" hidden="false" customHeight="false" outlineLevel="0" collapsed="false">
      <c r="A311" s="4" t="s">
        <v>320</v>
      </c>
      <c r="B311" s="4" t="n">
        <v>1</v>
      </c>
      <c r="C311" s="5" t="n">
        <v>679910.06</v>
      </c>
      <c r="D311" s="5" t="n">
        <v>694877.51</v>
      </c>
      <c r="E311" s="6" t="n">
        <v>0.0144</v>
      </c>
      <c r="F311" s="7" t="n">
        <v>0.4205</v>
      </c>
      <c r="G311" s="8" t="n">
        <f aca="false">MIN(75, MAX(25, F311*100))</f>
        <v>42.05</v>
      </c>
      <c r="H311" s="9" t="n">
        <f aca="false">E311*G311*D311/100</f>
        <v>4207.622298552</v>
      </c>
      <c r="I311" s="9" t="n">
        <f aca="false">E311*G311*D311/100</f>
        <v>4207.622298552</v>
      </c>
      <c r="J311" s="9" t="n">
        <f aca="false">IF(B311=1, H311, I311)</f>
        <v>4207.622298552</v>
      </c>
      <c r="K311" s="5" t="n">
        <v>4207.62</v>
      </c>
      <c r="L311" s="9" t="n">
        <f aca="false">J311-K311</f>
        <v>0.00229855199995654</v>
      </c>
    </row>
    <row r="312" customFormat="false" ht="15" hidden="false" customHeight="false" outlineLevel="0" collapsed="false">
      <c r="A312" s="4" t="s">
        <v>321</v>
      </c>
      <c r="B312" s="4" t="n">
        <v>1</v>
      </c>
      <c r="C312" s="5" t="n">
        <v>340179.07</v>
      </c>
      <c r="D312" s="5" t="n">
        <v>353059.14</v>
      </c>
      <c r="E312" s="6" t="n">
        <v>0.0237</v>
      </c>
      <c r="F312" s="7" t="n">
        <v>0.5273</v>
      </c>
      <c r="G312" s="8" t="n">
        <f aca="false">MIN(75, MAX(25, F312*100))</f>
        <v>52.73</v>
      </c>
      <c r="H312" s="9" t="n">
        <f aca="false">E312*G312*D312/100</f>
        <v>4412.1836031714</v>
      </c>
      <c r="I312" s="9" t="n">
        <f aca="false">E312*G312*D312/100</f>
        <v>4412.1836031714</v>
      </c>
      <c r="J312" s="9" t="n">
        <f aca="false">IF(B312=1, H312, I312)</f>
        <v>4412.1836031714</v>
      </c>
      <c r="K312" s="5" t="n">
        <v>4412.18</v>
      </c>
      <c r="L312" s="9" t="n">
        <f aca="false">J312-K312</f>
        <v>0.00360317139984545</v>
      </c>
    </row>
    <row r="313" customFormat="false" ht="15" hidden="false" customHeight="false" outlineLevel="0" collapsed="false">
      <c r="A313" s="4" t="s">
        <v>322</v>
      </c>
      <c r="B313" s="4" t="n">
        <v>1</v>
      </c>
      <c r="C313" s="5" t="n">
        <v>1215506.93</v>
      </c>
      <c r="D313" s="5" t="n">
        <v>1255571.86</v>
      </c>
      <c r="E313" s="6" t="n">
        <v>0.0214</v>
      </c>
      <c r="F313" s="7" t="n">
        <v>0.4585</v>
      </c>
      <c r="G313" s="8" t="n">
        <f aca="false">MIN(75, MAX(25, F313*100))</f>
        <v>45.85</v>
      </c>
      <c r="H313" s="9" t="n">
        <f aca="false">E313*G313*D313/100</f>
        <v>12319.545533134</v>
      </c>
      <c r="I313" s="9" t="n">
        <f aca="false">E313*G313*D313/100</f>
        <v>12319.545533134</v>
      </c>
      <c r="J313" s="9" t="n">
        <f aca="false">IF(B313=1, H313, I313)</f>
        <v>12319.545533134</v>
      </c>
      <c r="K313" s="5" t="n">
        <v>12319.55</v>
      </c>
      <c r="L313" s="9" t="n">
        <f aca="false">J313-K313</f>
        <v>-0.00446686599752866</v>
      </c>
    </row>
    <row r="314" customFormat="false" ht="15" hidden="false" customHeight="false" outlineLevel="0" collapsed="false">
      <c r="A314" s="4" t="s">
        <v>323</v>
      </c>
      <c r="B314" s="4" t="n">
        <v>1</v>
      </c>
      <c r="C314" s="5" t="n">
        <v>1453073.01</v>
      </c>
      <c r="D314" s="5" t="n">
        <v>1497969.28</v>
      </c>
      <c r="E314" s="6" t="n">
        <v>0.0216</v>
      </c>
      <c r="F314" s="7" t="n">
        <v>0.3941</v>
      </c>
      <c r="G314" s="8" t="n">
        <f aca="false">MIN(75, MAX(25, F314*100))</f>
        <v>39.41</v>
      </c>
      <c r="H314" s="9" t="n">
        <f aca="false">E314*G314*D314/100</f>
        <v>12751.5533741568</v>
      </c>
      <c r="I314" s="9" t="n">
        <f aca="false">E314*G314*D314/100</f>
        <v>12751.5533741568</v>
      </c>
      <c r="J314" s="9" t="n">
        <f aca="false">IF(B314=1, H314, I314)</f>
        <v>12751.5533741568</v>
      </c>
      <c r="K314" s="5" t="n">
        <v>12751.55</v>
      </c>
      <c r="L314" s="9" t="n">
        <f aca="false">J314-K314</f>
        <v>0.00337415680405684</v>
      </c>
    </row>
    <row r="315" customFormat="false" ht="15" hidden="false" customHeight="false" outlineLevel="0" collapsed="false">
      <c r="A315" s="4" t="s">
        <v>324</v>
      </c>
      <c r="B315" s="4" t="n">
        <v>1</v>
      </c>
      <c r="C315" s="5" t="n">
        <v>255261.58</v>
      </c>
      <c r="D315" s="5" t="n">
        <v>260044.1</v>
      </c>
      <c r="E315" s="6" t="n">
        <v>0.0257</v>
      </c>
      <c r="F315" s="7" t="n">
        <v>0.6192</v>
      </c>
      <c r="G315" s="8" t="n">
        <f aca="false">MIN(75, MAX(25, F315*100))</f>
        <v>61.92</v>
      </c>
      <c r="H315" s="9" t="n">
        <f aca="false">E315*G315*D315/100</f>
        <v>4138.196182704</v>
      </c>
      <c r="I315" s="9" t="n">
        <f aca="false">E315*G315*D315/100</f>
        <v>4138.196182704</v>
      </c>
      <c r="J315" s="9" t="n">
        <f aca="false">IF(B315=1, H315, I315)</f>
        <v>4138.196182704</v>
      </c>
      <c r="K315" s="5" t="n">
        <v>4138.2</v>
      </c>
      <c r="L315" s="9" t="n">
        <f aca="false">J315-K315</f>
        <v>-0.00381729600030667</v>
      </c>
    </row>
    <row r="316" customFormat="false" ht="15" hidden="false" customHeight="false" outlineLevel="0" collapsed="false">
      <c r="A316" s="4" t="s">
        <v>325</v>
      </c>
      <c r="B316" s="4" t="n">
        <v>1</v>
      </c>
      <c r="C316" s="5" t="n">
        <v>332832.96</v>
      </c>
      <c r="D316" s="5" t="n">
        <v>341492.21</v>
      </c>
      <c r="E316" s="6" t="n">
        <v>0.0213</v>
      </c>
      <c r="F316" s="7" t="n">
        <v>0.5478</v>
      </c>
      <c r="G316" s="8" t="n">
        <f aca="false">MIN(75, MAX(25, F316*100))</f>
        <v>54.78</v>
      </c>
      <c r="H316" s="9" t="n">
        <f aca="false">E316*G316*D316/100</f>
        <v>3984.5789151894</v>
      </c>
      <c r="I316" s="9" t="n">
        <f aca="false">E316*G316*D316/100</f>
        <v>3984.5789151894</v>
      </c>
      <c r="J316" s="9" t="n">
        <f aca="false">IF(B316=1, H316, I316)</f>
        <v>3984.5789151894</v>
      </c>
      <c r="K316" s="5" t="n">
        <v>3984.58</v>
      </c>
      <c r="L316" s="9" t="n">
        <f aca="false">J316-K316</f>
        <v>-0.00108481060078702</v>
      </c>
    </row>
    <row r="317" customFormat="false" ht="15" hidden="false" customHeight="false" outlineLevel="0" collapsed="false">
      <c r="A317" s="4" t="s">
        <v>326</v>
      </c>
      <c r="B317" s="4" t="n">
        <v>1</v>
      </c>
      <c r="C317" s="5" t="n">
        <v>478975.37</v>
      </c>
      <c r="D317" s="5" t="n">
        <v>489058.34</v>
      </c>
      <c r="E317" s="6" t="n">
        <v>0.0178</v>
      </c>
      <c r="F317" s="7" t="n">
        <v>0.3745</v>
      </c>
      <c r="G317" s="8" t="n">
        <f aca="false">MIN(75, MAX(25, F317*100))</f>
        <v>37.45</v>
      </c>
      <c r="H317" s="9" t="n">
        <f aca="false">E317*G317*D317/100</f>
        <v>3260.111800274</v>
      </c>
      <c r="I317" s="9" t="n">
        <f aca="false">E317*G317*D317/100</f>
        <v>3260.111800274</v>
      </c>
      <c r="J317" s="9" t="n">
        <f aca="false">IF(B317=1, H317, I317)</f>
        <v>3260.111800274</v>
      </c>
      <c r="K317" s="5" t="n">
        <v>3260.11</v>
      </c>
      <c r="L317" s="9" t="n">
        <f aca="false">J317-K317</f>
        <v>0.00180027400028848</v>
      </c>
    </row>
    <row r="318" customFormat="false" ht="15" hidden="false" customHeight="false" outlineLevel="0" collapsed="false">
      <c r="A318" s="4" t="s">
        <v>327</v>
      </c>
      <c r="B318" s="4" t="n">
        <v>1</v>
      </c>
      <c r="C318" s="5" t="n">
        <v>442469.92</v>
      </c>
      <c r="D318" s="5" t="n">
        <v>463485.45</v>
      </c>
      <c r="E318" s="6" t="n">
        <v>0.0149</v>
      </c>
      <c r="F318" s="7" t="n">
        <v>0.6262</v>
      </c>
      <c r="G318" s="8" t="n">
        <f aca="false">MIN(75, MAX(25, F318*100))</f>
        <v>62.62</v>
      </c>
      <c r="H318" s="9" t="n">
        <f aca="false">E318*G318*D318/100</f>
        <v>4324.495372971</v>
      </c>
      <c r="I318" s="9" t="n">
        <f aca="false">E318*G318*D318/100</f>
        <v>4324.495372971</v>
      </c>
      <c r="J318" s="9" t="n">
        <f aca="false">IF(B318=1, H318, I318)</f>
        <v>4324.495372971</v>
      </c>
      <c r="K318" s="5" t="n">
        <v>4324.5</v>
      </c>
      <c r="L318" s="9" t="n">
        <f aca="false">J318-K318</f>
        <v>-0.00462702900040313</v>
      </c>
    </row>
    <row r="319" customFormat="false" ht="15" hidden="false" customHeight="false" outlineLevel="0" collapsed="false">
      <c r="A319" s="4" t="s">
        <v>328</v>
      </c>
      <c r="B319" s="4" t="n">
        <v>1</v>
      </c>
      <c r="C319" s="5" t="n">
        <v>413877.58</v>
      </c>
      <c r="D319" s="5" t="n">
        <v>417569.7</v>
      </c>
      <c r="E319" s="6" t="n">
        <v>0.0179</v>
      </c>
      <c r="F319" s="7" t="n">
        <v>0.4456</v>
      </c>
      <c r="G319" s="8" t="n">
        <f aca="false">MIN(75, MAX(25, F319*100))</f>
        <v>44.56</v>
      </c>
      <c r="H319" s="9" t="n">
        <f aca="false">E319*G319*D319/100</f>
        <v>3330.636143928</v>
      </c>
      <c r="I319" s="9" t="n">
        <f aca="false">E319*G319*D319/100</f>
        <v>3330.636143928</v>
      </c>
      <c r="J319" s="9" t="n">
        <f aca="false">IF(B319=1, H319, I319)</f>
        <v>3330.636143928</v>
      </c>
      <c r="K319" s="5" t="n">
        <v>3330.64</v>
      </c>
      <c r="L319" s="9" t="n">
        <f aca="false">J319-K319</f>
        <v>-0.00385607199950755</v>
      </c>
    </row>
    <row r="320" customFormat="false" ht="15" hidden="false" customHeight="false" outlineLevel="0" collapsed="false">
      <c r="A320" s="4" t="s">
        <v>329</v>
      </c>
      <c r="B320" s="4" t="n">
        <v>1</v>
      </c>
      <c r="C320" s="5" t="n">
        <v>173563.01</v>
      </c>
      <c r="D320" s="5" t="n">
        <v>177264.26</v>
      </c>
      <c r="E320" s="6" t="n">
        <v>0.0174</v>
      </c>
      <c r="F320" s="7" t="n">
        <v>0.6344</v>
      </c>
      <c r="G320" s="8" t="n">
        <f aca="false">MIN(75, MAX(25, F320*100))</f>
        <v>63.44</v>
      </c>
      <c r="H320" s="9" t="n">
        <f aca="false">E320*G320*D320/100</f>
        <v>1956.7421698656</v>
      </c>
      <c r="I320" s="9" t="n">
        <f aca="false">E320*G320*D320/100</f>
        <v>1956.7421698656</v>
      </c>
      <c r="J320" s="9" t="n">
        <f aca="false">IF(B320=1, H320, I320)</f>
        <v>1956.7421698656</v>
      </c>
      <c r="K320" s="5" t="n">
        <v>1956.74</v>
      </c>
      <c r="L320" s="9" t="n">
        <f aca="false">J320-K320</f>
        <v>0.00216986560008081</v>
      </c>
    </row>
    <row r="321" customFormat="false" ht="15" hidden="false" customHeight="false" outlineLevel="0" collapsed="false">
      <c r="A321" s="4" t="s">
        <v>330</v>
      </c>
      <c r="B321" s="4" t="n">
        <v>1</v>
      </c>
      <c r="C321" s="5" t="n">
        <v>0</v>
      </c>
      <c r="D321" s="5" t="n">
        <v>0</v>
      </c>
      <c r="E321" s="6" t="n">
        <v>0.0241</v>
      </c>
      <c r="F321" s="7" t="n">
        <v>0.5483</v>
      </c>
      <c r="G321" s="8" t="n">
        <f aca="false">MIN(75, MAX(25, F321*100))</f>
        <v>54.83</v>
      </c>
      <c r="H321" s="9" t="n">
        <f aca="false">E321*G321*D321/100</f>
        <v>0</v>
      </c>
      <c r="I321" s="9" t="n">
        <f aca="false">E321*G321*D321/100</f>
        <v>0</v>
      </c>
      <c r="J321" s="9" t="n">
        <f aca="false">IF(B321=1, H321, I321)</f>
        <v>0</v>
      </c>
      <c r="K321" s="5" t="n">
        <v>0</v>
      </c>
      <c r="L321" s="9" t="n">
        <f aca="false">J321-K321</f>
        <v>0</v>
      </c>
    </row>
    <row r="322" customFormat="false" ht="15" hidden="false" customHeight="false" outlineLevel="0" collapsed="false">
      <c r="A322" s="4" t="s">
        <v>331</v>
      </c>
      <c r="B322" s="4" t="n">
        <v>1</v>
      </c>
      <c r="C322" s="5" t="n">
        <v>432717.13</v>
      </c>
      <c r="D322" s="5" t="n">
        <v>451649.35</v>
      </c>
      <c r="E322" s="6" t="n">
        <v>0.0245</v>
      </c>
      <c r="F322" s="7" t="n">
        <v>0.6022</v>
      </c>
      <c r="G322" s="8" t="n">
        <f aca="false">MIN(75, MAX(25, F322*100))</f>
        <v>60.22</v>
      </c>
      <c r="H322" s="9" t="n">
        <f aca="false">E322*G322*D322/100</f>
        <v>6663.589344965</v>
      </c>
      <c r="I322" s="9" t="n">
        <f aca="false">E322*G322*D322/100</f>
        <v>6663.589344965</v>
      </c>
      <c r="J322" s="9" t="n">
        <f aca="false">IF(B322=1, H322, I322)</f>
        <v>6663.589344965</v>
      </c>
      <c r="K322" s="5" t="n">
        <v>6663.59</v>
      </c>
      <c r="L322" s="9" t="n">
        <f aca="false">J322-K322</f>
        <v>-0.000655035000818316</v>
      </c>
    </row>
    <row r="323" customFormat="false" ht="15" hidden="false" customHeight="false" outlineLevel="0" collapsed="false">
      <c r="A323" s="4" t="s">
        <v>332</v>
      </c>
      <c r="B323" s="4" t="n">
        <v>1</v>
      </c>
      <c r="C323" s="5" t="n">
        <v>737913.94</v>
      </c>
      <c r="D323" s="5" t="n">
        <v>767763.69</v>
      </c>
      <c r="E323" s="6" t="n">
        <v>0.0221</v>
      </c>
      <c r="F323" s="7" t="n">
        <v>0.4734</v>
      </c>
      <c r="G323" s="8" t="n">
        <f aca="false">MIN(75, MAX(25, F323*100))</f>
        <v>47.34</v>
      </c>
      <c r="H323" s="9" t="n">
        <f aca="false">E323*G323*D323/100</f>
        <v>8032.4512116966</v>
      </c>
      <c r="I323" s="9" t="n">
        <f aca="false">E323*G323*D323/100</f>
        <v>8032.4512116966</v>
      </c>
      <c r="J323" s="9" t="n">
        <f aca="false">IF(B323=1, H323, I323)</f>
        <v>8032.4512116966</v>
      </c>
      <c r="K323" s="5" t="n">
        <v>8032.45</v>
      </c>
      <c r="L323" s="9" t="n">
        <f aca="false">J323-K323</f>
        <v>0.00121169659905718</v>
      </c>
    </row>
    <row r="324" customFormat="false" ht="15" hidden="false" customHeight="false" outlineLevel="0" collapsed="false">
      <c r="A324" s="4" t="s">
        <v>333</v>
      </c>
      <c r="B324" s="4" t="n">
        <v>1</v>
      </c>
      <c r="C324" s="5" t="n">
        <v>0</v>
      </c>
      <c r="D324" s="5" t="n">
        <v>0</v>
      </c>
      <c r="E324" s="6" t="n">
        <v>0.0243</v>
      </c>
      <c r="F324" s="7" t="n">
        <v>0.4188</v>
      </c>
      <c r="G324" s="8" t="n">
        <f aca="false">MIN(75, MAX(25, F324*100))</f>
        <v>41.88</v>
      </c>
      <c r="H324" s="9" t="n">
        <f aca="false">E324*G324*D324/100</f>
        <v>0</v>
      </c>
      <c r="I324" s="9" t="n">
        <f aca="false">E324*G324*D324/100</f>
        <v>0</v>
      </c>
      <c r="J324" s="9" t="n">
        <f aca="false">IF(B324=1, H324, I324)</f>
        <v>0</v>
      </c>
      <c r="K324" s="5" t="n">
        <v>0</v>
      </c>
      <c r="L324" s="9" t="n">
        <f aca="false">J324-K324</f>
        <v>0</v>
      </c>
    </row>
    <row r="325" customFormat="false" ht="15" hidden="false" customHeight="false" outlineLevel="0" collapsed="false">
      <c r="A325" s="4" t="s">
        <v>334</v>
      </c>
      <c r="B325" s="4" t="n">
        <v>2</v>
      </c>
      <c r="C325" s="5" t="n">
        <v>0</v>
      </c>
      <c r="D325" s="5" t="n">
        <v>0</v>
      </c>
      <c r="E325" s="6" t="n">
        <v>0.1439</v>
      </c>
      <c r="F325" s="7" t="n">
        <v>0.6078</v>
      </c>
      <c r="G325" s="8" t="n">
        <f aca="false">MIN(75, MAX(25, F325*100))</f>
        <v>60.78</v>
      </c>
      <c r="H325" s="9" t="n">
        <f aca="false">E325*G325*D325/100</f>
        <v>0</v>
      </c>
      <c r="I325" s="9" t="n">
        <f aca="false">E325*G325*D325/100</f>
        <v>0</v>
      </c>
      <c r="J325" s="9" t="n">
        <f aca="false">IF(B325=1, H325, I325)</f>
        <v>0</v>
      </c>
      <c r="K325" s="5" t="n">
        <v>0</v>
      </c>
      <c r="L325" s="9" t="n">
        <f aca="false">J325-K325</f>
        <v>0</v>
      </c>
    </row>
    <row r="326" customFormat="false" ht="15" hidden="false" customHeight="false" outlineLevel="0" collapsed="false">
      <c r="A326" s="4" t="s">
        <v>335</v>
      </c>
      <c r="B326" s="4" t="n">
        <v>1</v>
      </c>
      <c r="C326" s="5" t="n">
        <v>619832.64</v>
      </c>
      <c r="D326" s="5" t="n">
        <v>644925.97</v>
      </c>
      <c r="E326" s="6" t="n">
        <v>0.0217</v>
      </c>
      <c r="F326" s="7" t="n">
        <v>0.4497</v>
      </c>
      <c r="G326" s="8" t="n">
        <f aca="false">MIN(75, MAX(25, F326*100))</f>
        <v>44.97</v>
      </c>
      <c r="H326" s="9" t="n">
        <f aca="false">E326*G326*D326/100</f>
        <v>6293.5036289853</v>
      </c>
      <c r="I326" s="9" t="n">
        <f aca="false">E326*G326*D326/100</f>
        <v>6293.5036289853</v>
      </c>
      <c r="J326" s="9" t="n">
        <f aca="false">IF(B326=1, H326, I326)</f>
        <v>6293.5036289853</v>
      </c>
      <c r="K326" s="5" t="n">
        <v>6293.5</v>
      </c>
      <c r="L326" s="9" t="n">
        <f aca="false">J326-K326</f>
        <v>0.00362898529965605</v>
      </c>
    </row>
    <row r="327" customFormat="false" ht="15" hidden="false" customHeight="false" outlineLevel="0" collapsed="false">
      <c r="A327" s="4" t="s">
        <v>336</v>
      </c>
      <c r="B327" s="4" t="n">
        <v>2</v>
      </c>
      <c r="C327" s="5" t="n">
        <v>321131.97</v>
      </c>
      <c r="D327" s="5" t="n">
        <v>337072.24</v>
      </c>
      <c r="E327" s="6" t="n">
        <v>0.121</v>
      </c>
      <c r="F327" s="7" t="n">
        <v>0.6076</v>
      </c>
      <c r="G327" s="8" t="n">
        <f aca="false">MIN(75, MAX(25, F327*100))</f>
        <v>60.76</v>
      </c>
      <c r="H327" s="9" t="n">
        <f aca="false">E327*G327*D327/100</f>
        <v>24781.416255904</v>
      </c>
      <c r="I327" s="9" t="n">
        <f aca="false">E327*G327*D327/100</f>
        <v>24781.416255904</v>
      </c>
      <c r="J327" s="9" t="n">
        <f aca="false">IF(B327=1, H327, I327)</f>
        <v>24781.416255904</v>
      </c>
      <c r="K327" s="5" t="n">
        <v>24781.42</v>
      </c>
      <c r="L327" s="9" t="n">
        <f aca="false">J327-K327</f>
        <v>-0.00374409600044601</v>
      </c>
    </row>
    <row r="328" customFormat="false" ht="15" hidden="false" customHeight="false" outlineLevel="0" collapsed="false">
      <c r="A328" s="4" t="s">
        <v>337</v>
      </c>
      <c r="B328" s="4" t="n">
        <v>1</v>
      </c>
      <c r="C328" s="5" t="n">
        <v>1028684.49</v>
      </c>
      <c r="D328" s="5" t="n">
        <v>1039200.83</v>
      </c>
      <c r="E328" s="6" t="n">
        <v>0.0157</v>
      </c>
      <c r="F328" s="7" t="n">
        <v>0.507</v>
      </c>
      <c r="G328" s="8" t="n">
        <f aca="false">MIN(75, MAX(25, F328*100))</f>
        <v>50.7</v>
      </c>
      <c r="H328" s="9" t="n">
        <f aca="false">E328*G328*D328/100</f>
        <v>8271.934686717</v>
      </c>
      <c r="I328" s="9" t="n">
        <f aca="false">E328*G328*D328/100</f>
        <v>8271.934686717</v>
      </c>
      <c r="J328" s="9" t="n">
        <f aca="false">IF(B328=1, H328, I328)</f>
        <v>8271.934686717</v>
      </c>
      <c r="K328" s="5" t="n">
        <v>8271.93</v>
      </c>
      <c r="L328" s="9" t="n">
        <f aca="false">J328-K328</f>
        <v>0.00468671700036794</v>
      </c>
    </row>
    <row r="329" customFormat="false" ht="15" hidden="false" customHeight="false" outlineLevel="0" collapsed="false">
      <c r="A329" s="4" t="s">
        <v>338</v>
      </c>
      <c r="B329" s="4" t="n">
        <v>1</v>
      </c>
      <c r="C329" s="5" t="n">
        <v>229116.14</v>
      </c>
      <c r="D329" s="5" t="n">
        <v>232261.68</v>
      </c>
      <c r="E329" s="6" t="n">
        <v>0.0215</v>
      </c>
      <c r="F329" s="7" t="n">
        <v>0.6284</v>
      </c>
      <c r="G329" s="8" t="n">
        <f aca="false">MIN(75, MAX(25, F329*100))</f>
        <v>62.84</v>
      </c>
      <c r="H329" s="9" t="n">
        <f aca="false">E329*G329*D329/100</f>
        <v>3137.994653808</v>
      </c>
      <c r="I329" s="9" t="n">
        <f aca="false">E329*G329*D329/100</f>
        <v>3137.994653808</v>
      </c>
      <c r="J329" s="9" t="n">
        <f aca="false">IF(B329=1, H329, I329)</f>
        <v>3137.994653808</v>
      </c>
      <c r="K329" s="5" t="n">
        <v>3137.99</v>
      </c>
      <c r="L329" s="9" t="n">
        <f aca="false">J329-K329</f>
        <v>0.00465380799914783</v>
      </c>
    </row>
    <row r="330" customFormat="false" ht="15" hidden="false" customHeight="false" outlineLevel="0" collapsed="false">
      <c r="A330" s="4" t="s">
        <v>339</v>
      </c>
      <c r="B330" s="4" t="n">
        <v>3</v>
      </c>
      <c r="C330" s="5" t="n">
        <v>271615.78</v>
      </c>
      <c r="D330" s="5" t="n">
        <v>271619.13</v>
      </c>
      <c r="E330" s="6" t="n">
        <v>0.6681</v>
      </c>
      <c r="F330" s="7" t="n">
        <v>0.4926</v>
      </c>
      <c r="G330" s="8" t="n">
        <f aca="false">MIN(75, MAX(25, F330*100))</f>
        <v>49.26</v>
      </c>
      <c r="H330" s="9" t="n">
        <f aca="false">E330*G330*D330/100</f>
        <v>89391.5016949278</v>
      </c>
      <c r="I330" s="9" t="n">
        <f aca="false">E330*G330*D330/100</f>
        <v>89391.5016949278</v>
      </c>
      <c r="J330" s="9" t="n">
        <f aca="false">IF(B330=1, H330, I330)</f>
        <v>89391.5016949278</v>
      </c>
      <c r="K330" s="5" t="n">
        <v>89391.5</v>
      </c>
      <c r="L330" s="9" t="n">
        <f aca="false">J330-K330</f>
        <v>0.00169492780696601</v>
      </c>
    </row>
    <row r="331" customFormat="false" ht="15" hidden="false" customHeight="false" outlineLevel="0" collapsed="false">
      <c r="A331" s="4" t="s">
        <v>340</v>
      </c>
      <c r="B331" s="4" t="n">
        <v>1</v>
      </c>
      <c r="C331" s="5" t="n">
        <v>314376.14</v>
      </c>
      <c r="D331" s="5" t="n">
        <v>327821.57</v>
      </c>
      <c r="E331" s="6" t="n">
        <v>0.0161</v>
      </c>
      <c r="F331" s="7" t="n">
        <v>0.6098</v>
      </c>
      <c r="G331" s="8" t="n">
        <f aca="false">MIN(75, MAX(25, F331*100))</f>
        <v>60.98</v>
      </c>
      <c r="H331" s="9" t="n">
        <f aca="false">E331*G331*D331/100</f>
        <v>3218.4800535146</v>
      </c>
      <c r="I331" s="9" t="n">
        <f aca="false">E331*G331*D331/100</f>
        <v>3218.4800535146</v>
      </c>
      <c r="J331" s="9" t="n">
        <f aca="false">IF(B331=1, H331, I331)</f>
        <v>3218.4800535146</v>
      </c>
      <c r="K331" s="5" t="n">
        <v>3218.48</v>
      </c>
      <c r="L331" s="9" t="n">
        <f aca="false">J331-K331</f>
        <v>5.35146000402165E-005</v>
      </c>
    </row>
    <row r="332" customFormat="false" ht="15" hidden="false" customHeight="false" outlineLevel="0" collapsed="false">
      <c r="A332" s="4" t="s">
        <v>341</v>
      </c>
      <c r="B332" s="4" t="n">
        <v>1</v>
      </c>
      <c r="C332" s="5" t="n">
        <v>110865.68</v>
      </c>
      <c r="D332" s="5" t="n">
        <v>113583.55</v>
      </c>
      <c r="E332" s="6" t="n">
        <v>0.026</v>
      </c>
      <c r="F332" s="7" t="n">
        <v>0.5397</v>
      </c>
      <c r="G332" s="8" t="n">
        <f aca="false">MIN(75, MAX(25, F332*100))</f>
        <v>53.97</v>
      </c>
      <c r="H332" s="9" t="n">
        <f aca="false">E332*G332*D332/100</f>
        <v>1593.82709031</v>
      </c>
      <c r="I332" s="9" t="n">
        <f aca="false">E332*G332*D332/100</f>
        <v>1593.82709031</v>
      </c>
      <c r="J332" s="9" t="n">
        <f aca="false">IF(B332=1, H332, I332)</f>
        <v>1593.82709031</v>
      </c>
      <c r="K332" s="5" t="n">
        <v>1593.83</v>
      </c>
      <c r="L332" s="9" t="n">
        <f aca="false">J332-K332</f>
        <v>-0.00290968999979668</v>
      </c>
    </row>
    <row r="333" customFormat="false" ht="15" hidden="false" customHeight="false" outlineLevel="0" collapsed="false">
      <c r="A333" s="4" t="s">
        <v>342</v>
      </c>
      <c r="B333" s="4" t="n">
        <v>1</v>
      </c>
      <c r="C333" s="5" t="n">
        <v>434489.5</v>
      </c>
      <c r="D333" s="5" t="n">
        <v>435825.19</v>
      </c>
      <c r="E333" s="6" t="n">
        <v>0.019</v>
      </c>
      <c r="F333" s="7" t="n">
        <v>0.5503</v>
      </c>
      <c r="G333" s="8" t="n">
        <f aca="false">MIN(75, MAX(25, F333*100))</f>
        <v>55.03</v>
      </c>
      <c r="H333" s="9" t="n">
        <f aca="false">E333*G333*D333/100</f>
        <v>4556.857439083</v>
      </c>
      <c r="I333" s="9" t="n">
        <f aca="false">E333*G333*D333/100</f>
        <v>4556.857439083</v>
      </c>
      <c r="J333" s="9" t="n">
        <f aca="false">IF(B333=1, H333, I333)</f>
        <v>4556.857439083</v>
      </c>
      <c r="K333" s="5" t="n">
        <v>4556.86</v>
      </c>
      <c r="L333" s="9" t="n">
        <f aca="false">J333-K333</f>
        <v>-0.00256091699975514</v>
      </c>
    </row>
    <row r="334" customFormat="false" ht="15" hidden="false" customHeight="false" outlineLevel="0" collapsed="false">
      <c r="A334" s="4" t="s">
        <v>343</v>
      </c>
      <c r="B334" s="4" t="n">
        <v>1</v>
      </c>
      <c r="C334" s="5" t="n">
        <v>517026.75</v>
      </c>
      <c r="D334" s="5" t="n">
        <v>526708.84</v>
      </c>
      <c r="E334" s="6" t="n">
        <v>0.0235</v>
      </c>
      <c r="F334" s="7" t="n">
        <v>0.4153</v>
      </c>
      <c r="G334" s="8" t="n">
        <f aca="false">MIN(75, MAX(25, F334*100))</f>
        <v>41.53</v>
      </c>
      <c r="H334" s="9" t="n">
        <f aca="false">E334*G334*D334/100</f>
        <v>5140.441259422</v>
      </c>
      <c r="I334" s="9" t="n">
        <f aca="false">E334*G334*D334/100</f>
        <v>5140.441259422</v>
      </c>
      <c r="J334" s="9" t="n">
        <f aca="false">IF(B334=1, H334, I334)</f>
        <v>5140.441259422</v>
      </c>
      <c r="K334" s="5" t="n">
        <v>5140.44</v>
      </c>
      <c r="L334" s="9" t="n">
        <f aca="false">J334-K334</f>
        <v>0.00125942199974816</v>
      </c>
    </row>
    <row r="335" customFormat="false" ht="15" hidden="false" customHeight="false" outlineLevel="0" collapsed="false">
      <c r="A335" s="4" t="s">
        <v>344</v>
      </c>
      <c r="B335" s="4" t="n">
        <v>1</v>
      </c>
      <c r="C335" s="5" t="n">
        <v>326842.36</v>
      </c>
      <c r="D335" s="5" t="n">
        <v>333145.2</v>
      </c>
      <c r="E335" s="6" t="n">
        <v>0.0144</v>
      </c>
      <c r="F335" s="7" t="n">
        <v>0.6004</v>
      </c>
      <c r="G335" s="8" t="n">
        <f aca="false">MIN(75, MAX(25, F335*100))</f>
        <v>60.04</v>
      </c>
      <c r="H335" s="9" t="n">
        <f aca="false">E335*G335*D335/100</f>
        <v>2880.293444352</v>
      </c>
      <c r="I335" s="9" t="n">
        <f aca="false">E335*G335*D335/100</f>
        <v>2880.293444352</v>
      </c>
      <c r="J335" s="9" t="n">
        <f aca="false">IF(B335=1, H335, I335)</f>
        <v>2880.293444352</v>
      </c>
      <c r="K335" s="5" t="n">
        <v>2880.29</v>
      </c>
      <c r="L335" s="9" t="n">
        <f aca="false">J335-K335</f>
        <v>0.00344435200031512</v>
      </c>
    </row>
    <row r="336" customFormat="false" ht="15" hidden="false" customHeight="false" outlineLevel="0" collapsed="false">
      <c r="A336" s="4" t="s">
        <v>345</v>
      </c>
      <c r="B336" s="4" t="n">
        <v>2</v>
      </c>
      <c r="C336" s="5" t="n">
        <v>610021.94</v>
      </c>
      <c r="D336" s="5" t="n">
        <v>628829.29</v>
      </c>
      <c r="E336" s="6" t="n">
        <v>0.1381</v>
      </c>
      <c r="F336" s="7" t="n">
        <v>0.4817</v>
      </c>
      <c r="G336" s="8" t="n">
        <f aca="false">MIN(75, MAX(25, F336*100))</f>
        <v>48.17</v>
      </c>
      <c r="H336" s="9" t="n">
        <f aca="false">E336*G336*D336/100</f>
        <v>41831.4662279333</v>
      </c>
      <c r="I336" s="9" t="n">
        <f aca="false">E336*G336*D336/100</f>
        <v>41831.4662279333</v>
      </c>
      <c r="J336" s="9" t="n">
        <f aca="false">IF(B336=1, H336, I336)</f>
        <v>41831.4662279333</v>
      </c>
      <c r="K336" s="5" t="n">
        <v>41831.47</v>
      </c>
      <c r="L336" s="9" t="n">
        <f aca="false">J336-K336</f>
        <v>-0.00377206669509178</v>
      </c>
    </row>
    <row r="337" customFormat="false" ht="15" hidden="false" customHeight="false" outlineLevel="0" collapsed="false">
      <c r="A337" s="4" t="s">
        <v>346</v>
      </c>
      <c r="B337" s="4" t="n">
        <v>1</v>
      </c>
      <c r="C337" s="5" t="n">
        <v>913588.33</v>
      </c>
      <c r="D337" s="5" t="n">
        <v>957436.61</v>
      </c>
      <c r="E337" s="6" t="n">
        <v>0.0156</v>
      </c>
      <c r="F337" s="7" t="n">
        <v>0.4499</v>
      </c>
      <c r="G337" s="8" t="n">
        <f aca="false">MIN(75, MAX(25, F337*100))</f>
        <v>44.99</v>
      </c>
      <c r="H337" s="9" t="n">
        <f aca="false">E337*G337*D337/100</f>
        <v>6719.7114010884</v>
      </c>
      <c r="I337" s="9" t="n">
        <f aca="false">E337*G337*D337/100</f>
        <v>6719.7114010884</v>
      </c>
      <c r="J337" s="9" t="n">
        <f aca="false">IF(B337=1, H337, I337)</f>
        <v>6719.7114010884</v>
      </c>
      <c r="K337" s="5" t="n">
        <v>6719.71</v>
      </c>
      <c r="L337" s="9" t="n">
        <f aca="false">J337-K337</f>
        <v>0.00140108839968889</v>
      </c>
    </row>
    <row r="338" customFormat="false" ht="15" hidden="false" customHeight="false" outlineLevel="0" collapsed="false">
      <c r="A338" s="4" t="s">
        <v>347</v>
      </c>
      <c r="B338" s="4" t="n">
        <v>1</v>
      </c>
      <c r="C338" s="5" t="n">
        <v>439053.09</v>
      </c>
      <c r="D338" s="5" t="n">
        <v>441874.06</v>
      </c>
      <c r="E338" s="6" t="n">
        <v>0.0232</v>
      </c>
      <c r="F338" s="7" t="n">
        <v>0.3787</v>
      </c>
      <c r="G338" s="8" t="n">
        <f aca="false">MIN(75, MAX(25, F338*100))</f>
        <v>37.87</v>
      </c>
      <c r="H338" s="9" t="n">
        <f aca="false">E338*G338*D338/100</f>
        <v>3882.2347913104</v>
      </c>
      <c r="I338" s="9" t="n">
        <f aca="false">E338*G338*D338/100</f>
        <v>3882.2347913104</v>
      </c>
      <c r="J338" s="9" t="n">
        <f aca="false">IF(B338=1, H338, I338)</f>
        <v>3882.2347913104</v>
      </c>
      <c r="K338" s="5" t="n">
        <v>3882.23</v>
      </c>
      <c r="L338" s="9" t="n">
        <f aca="false">J338-K338</f>
        <v>0.00479131039992353</v>
      </c>
    </row>
    <row r="339" customFormat="false" ht="15" hidden="false" customHeight="false" outlineLevel="0" collapsed="false">
      <c r="A339" s="4" t="s">
        <v>348</v>
      </c>
      <c r="B339" s="4" t="n">
        <v>1</v>
      </c>
      <c r="C339" s="5" t="n">
        <v>502433</v>
      </c>
      <c r="D339" s="5" t="n">
        <v>514507.77</v>
      </c>
      <c r="E339" s="6" t="n">
        <v>0.0177</v>
      </c>
      <c r="F339" s="7" t="n">
        <v>0.5526</v>
      </c>
      <c r="G339" s="8" t="n">
        <f aca="false">MIN(75, MAX(25, F339*100))</f>
        <v>55.26</v>
      </c>
      <c r="H339" s="9" t="n">
        <f aca="false">E339*G339*D339/100</f>
        <v>5032.4107885254</v>
      </c>
      <c r="I339" s="9" t="n">
        <f aca="false">E339*G339*D339/100</f>
        <v>5032.4107885254</v>
      </c>
      <c r="J339" s="9" t="n">
        <f aca="false">IF(B339=1, H339, I339)</f>
        <v>5032.4107885254</v>
      </c>
      <c r="K339" s="5" t="n">
        <v>5032.41</v>
      </c>
      <c r="L339" s="9" t="n">
        <f aca="false">J339-K339</f>
        <v>0.000788525400821527</v>
      </c>
    </row>
    <row r="340" customFormat="false" ht="15" hidden="false" customHeight="false" outlineLevel="0" collapsed="false">
      <c r="A340" s="4" t="s">
        <v>349</v>
      </c>
      <c r="B340" s="4" t="n">
        <v>1</v>
      </c>
      <c r="C340" s="5" t="n">
        <v>0</v>
      </c>
      <c r="D340" s="5" t="n">
        <v>0</v>
      </c>
      <c r="E340" s="6" t="n">
        <v>0.0241</v>
      </c>
      <c r="F340" s="7" t="n">
        <v>0.6415</v>
      </c>
      <c r="G340" s="8" t="n">
        <f aca="false">MIN(75, MAX(25, F340*100))</f>
        <v>64.15</v>
      </c>
      <c r="H340" s="9" t="n">
        <f aca="false">E340*G340*D340/100</f>
        <v>0</v>
      </c>
      <c r="I340" s="9" t="n">
        <f aca="false">E340*G340*D340/100</f>
        <v>0</v>
      </c>
      <c r="J340" s="9" t="n">
        <f aca="false">IF(B340=1, H340, I340)</f>
        <v>0</v>
      </c>
      <c r="K340" s="5" t="n">
        <v>0</v>
      </c>
      <c r="L340" s="9" t="n">
        <f aca="false">J340-K340</f>
        <v>0</v>
      </c>
    </row>
    <row r="341" customFormat="false" ht="15" hidden="false" customHeight="false" outlineLevel="0" collapsed="false">
      <c r="A341" s="4" t="s">
        <v>350</v>
      </c>
      <c r="B341" s="4" t="n">
        <v>1</v>
      </c>
      <c r="C341" s="5" t="n">
        <v>372600.52</v>
      </c>
      <c r="D341" s="5" t="n">
        <v>383699.9</v>
      </c>
      <c r="E341" s="6" t="n">
        <v>0.0179</v>
      </c>
      <c r="F341" s="7" t="n">
        <v>0.5408</v>
      </c>
      <c r="G341" s="8" t="n">
        <f aca="false">MIN(75, MAX(25, F341*100))</f>
        <v>54.08</v>
      </c>
      <c r="H341" s="9" t="n">
        <f aca="false">E341*G341*D341/100</f>
        <v>3714.337815968</v>
      </c>
      <c r="I341" s="9" t="n">
        <f aca="false">E341*G341*D341/100</f>
        <v>3714.337815968</v>
      </c>
      <c r="J341" s="9" t="n">
        <f aca="false">IF(B341=1, H341, I341)</f>
        <v>3714.337815968</v>
      </c>
      <c r="K341" s="5" t="n">
        <v>3714.34</v>
      </c>
      <c r="L341" s="9" t="n">
        <f aca="false">J341-K341</f>
        <v>-0.00218403200051398</v>
      </c>
    </row>
    <row r="342" customFormat="false" ht="15" hidden="false" customHeight="false" outlineLevel="0" collapsed="false">
      <c r="A342" s="4" t="s">
        <v>351</v>
      </c>
      <c r="B342" s="4" t="n">
        <v>1</v>
      </c>
      <c r="C342" s="5" t="n">
        <v>715249.65</v>
      </c>
      <c r="D342" s="5" t="n">
        <v>719413.31</v>
      </c>
      <c r="E342" s="6" t="n">
        <v>0.024</v>
      </c>
      <c r="F342" s="7" t="n">
        <v>0.48</v>
      </c>
      <c r="G342" s="8" t="n">
        <f aca="false">MIN(75, MAX(25, F342*100))</f>
        <v>48</v>
      </c>
      <c r="H342" s="9" t="n">
        <f aca="false">E342*G342*D342/100</f>
        <v>8287.6413312</v>
      </c>
      <c r="I342" s="9" t="n">
        <f aca="false">E342*G342*D342/100</f>
        <v>8287.6413312</v>
      </c>
      <c r="J342" s="9" t="n">
        <f aca="false">IF(B342=1, H342, I342)</f>
        <v>8287.6413312</v>
      </c>
      <c r="K342" s="5" t="n">
        <v>8287.64</v>
      </c>
      <c r="L342" s="9" t="n">
        <f aca="false">J342-K342</f>
        <v>0.00133120000100462</v>
      </c>
    </row>
    <row r="343" customFormat="false" ht="15" hidden="false" customHeight="false" outlineLevel="0" collapsed="false">
      <c r="A343" s="4" t="s">
        <v>352</v>
      </c>
      <c r="B343" s="4" t="n">
        <v>1</v>
      </c>
      <c r="C343" s="5" t="n">
        <v>496571.93</v>
      </c>
      <c r="D343" s="5" t="n">
        <v>514175.62</v>
      </c>
      <c r="E343" s="6" t="n">
        <v>0.0152</v>
      </c>
      <c r="F343" s="7" t="n">
        <v>0.4174</v>
      </c>
      <c r="G343" s="8" t="n">
        <f aca="false">MIN(75, MAX(25, F343*100))</f>
        <v>41.74</v>
      </c>
      <c r="H343" s="9" t="n">
        <f aca="false">E343*G343*D343/100</f>
        <v>3262.1769375776</v>
      </c>
      <c r="I343" s="9" t="n">
        <f aca="false">E343*G343*D343/100</f>
        <v>3262.1769375776</v>
      </c>
      <c r="J343" s="9" t="n">
        <f aca="false">IF(B343=1, H343, I343)</f>
        <v>3262.1769375776</v>
      </c>
      <c r="K343" s="5" t="n">
        <v>3262.18</v>
      </c>
      <c r="L343" s="9" t="n">
        <f aca="false">J343-K343</f>
        <v>-0.00306242240003485</v>
      </c>
    </row>
    <row r="344" customFormat="false" ht="15" hidden="false" customHeight="false" outlineLevel="0" collapsed="false">
      <c r="A344" s="4" t="s">
        <v>353</v>
      </c>
      <c r="B344" s="4" t="n">
        <v>1</v>
      </c>
      <c r="C344" s="5" t="n">
        <v>1945615.85</v>
      </c>
      <c r="D344" s="5" t="n">
        <v>1975192.39</v>
      </c>
      <c r="E344" s="6" t="n">
        <v>0.023</v>
      </c>
      <c r="F344" s="7" t="n">
        <v>0.5089</v>
      </c>
      <c r="G344" s="8" t="n">
        <f aca="false">MIN(75, MAX(25, F344*100))</f>
        <v>50.89</v>
      </c>
      <c r="H344" s="9" t="n">
        <f aca="false">E344*G344*D344/100</f>
        <v>23119.034367233</v>
      </c>
      <c r="I344" s="9" t="n">
        <f aca="false">E344*G344*D344/100</f>
        <v>23119.034367233</v>
      </c>
      <c r="J344" s="9" t="n">
        <f aca="false">IF(B344=1, H344, I344)</f>
        <v>23119.034367233</v>
      </c>
      <c r="K344" s="5" t="n">
        <v>23119.03</v>
      </c>
      <c r="L344" s="9" t="n">
        <f aca="false">J344-K344</f>
        <v>0.00436723299935693</v>
      </c>
    </row>
    <row r="345" customFormat="false" ht="15" hidden="false" customHeight="false" outlineLevel="0" collapsed="false">
      <c r="A345" s="4" t="s">
        <v>354</v>
      </c>
      <c r="B345" s="4" t="n">
        <v>1</v>
      </c>
      <c r="C345" s="5" t="n">
        <v>597158.27</v>
      </c>
      <c r="D345" s="5" t="n">
        <v>603659.91</v>
      </c>
      <c r="E345" s="6" t="n">
        <v>0.0206</v>
      </c>
      <c r="F345" s="7" t="n">
        <v>0.4556</v>
      </c>
      <c r="G345" s="8" t="n">
        <f aca="false">MIN(75, MAX(25, F345*100))</f>
        <v>45.56</v>
      </c>
      <c r="H345" s="9" t="n">
        <f aca="false">E345*G345*D345/100</f>
        <v>5665.5655729176</v>
      </c>
      <c r="I345" s="9" t="n">
        <f aca="false">E345*G345*D345/100</f>
        <v>5665.5655729176</v>
      </c>
      <c r="J345" s="9" t="n">
        <f aca="false">IF(B345=1, H345, I345)</f>
        <v>5665.5655729176</v>
      </c>
      <c r="K345" s="5" t="n">
        <v>5665.57</v>
      </c>
      <c r="L345" s="9" t="n">
        <f aca="false">J345-K345</f>
        <v>-0.00442708239825151</v>
      </c>
    </row>
    <row r="346" customFormat="false" ht="15" hidden="false" customHeight="false" outlineLevel="0" collapsed="false">
      <c r="A346" s="4" t="s">
        <v>355</v>
      </c>
      <c r="B346" s="4" t="n">
        <v>1</v>
      </c>
      <c r="C346" s="5" t="n">
        <v>1767356.72</v>
      </c>
      <c r="D346" s="5" t="n">
        <v>1850907.54</v>
      </c>
      <c r="E346" s="6" t="n">
        <v>0.0212</v>
      </c>
      <c r="F346" s="7" t="n">
        <v>0.5696</v>
      </c>
      <c r="G346" s="8" t="n">
        <f aca="false">MIN(75, MAX(25, F346*100))</f>
        <v>56.96</v>
      </c>
      <c r="H346" s="9" t="n">
        <f aca="false">E346*G346*D346/100</f>
        <v>22350.6710174208</v>
      </c>
      <c r="I346" s="9" t="n">
        <f aca="false">E346*G346*D346/100</f>
        <v>22350.6710174208</v>
      </c>
      <c r="J346" s="9" t="n">
        <f aca="false">IF(B346=1, H346, I346)</f>
        <v>22350.6710174208</v>
      </c>
      <c r="K346" s="5" t="n">
        <v>22350.67</v>
      </c>
      <c r="L346" s="9" t="n">
        <f aca="false">J346-K346</f>
        <v>0.00101742080005351</v>
      </c>
    </row>
    <row r="347" customFormat="false" ht="15" hidden="false" customHeight="false" outlineLevel="0" collapsed="false">
      <c r="A347" s="4" t="s">
        <v>356</v>
      </c>
      <c r="B347" s="4" t="n">
        <v>1</v>
      </c>
      <c r="C347" s="5" t="n">
        <v>293272.78</v>
      </c>
      <c r="D347" s="5" t="n">
        <v>296863.37</v>
      </c>
      <c r="E347" s="6" t="n">
        <v>0.0245</v>
      </c>
      <c r="F347" s="7" t="n">
        <v>0.6227</v>
      </c>
      <c r="G347" s="8" t="n">
        <f aca="false">MIN(75, MAX(25, F347*100))</f>
        <v>62.27</v>
      </c>
      <c r="H347" s="9" t="n">
        <f aca="false">E347*G347*D347/100</f>
        <v>4528.9921022255</v>
      </c>
      <c r="I347" s="9" t="n">
        <f aca="false">E347*G347*D347/100</f>
        <v>4528.9921022255</v>
      </c>
      <c r="J347" s="9" t="n">
        <f aca="false">IF(B347=1, H347, I347)</f>
        <v>4528.9921022255</v>
      </c>
      <c r="K347" s="5" t="n">
        <v>4528.99</v>
      </c>
      <c r="L347" s="9" t="n">
        <f aca="false">J347-K347</f>
        <v>0.00210222550049366</v>
      </c>
    </row>
    <row r="348" customFormat="false" ht="15" hidden="false" customHeight="false" outlineLevel="0" collapsed="false">
      <c r="A348" s="4" t="s">
        <v>357</v>
      </c>
      <c r="B348" s="4" t="n">
        <v>1</v>
      </c>
      <c r="C348" s="5" t="n">
        <v>2050096.09</v>
      </c>
      <c r="D348" s="5" t="n">
        <v>2109529.6</v>
      </c>
      <c r="E348" s="6" t="n">
        <v>0.0242</v>
      </c>
      <c r="F348" s="7" t="n">
        <v>0.5774</v>
      </c>
      <c r="G348" s="8" t="n">
        <f aca="false">MIN(75, MAX(25, F348*100))</f>
        <v>57.74</v>
      </c>
      <c r="H348" s="9" t="n">
        <f aca="false">E348*G348*D348/100</f>
        <v>29476.625863168</v>
      </c>
      <c r="I348" s="9" t="n">
        <f aca="false">E348*G348*D348/100</f>
        <v>29476.625863168</v>
      </c>
      <c r="J348" s="9" t="n">
        <f aca="false">IF(B348=1, H348, I348)</f>
        <v>29476.625863168</v>
      </c>
      <c r="K348" s="5" t="n">
        <v>29476.63</v>
      </c>
      <c r="L348" s="9" t="n">
        <f aca="false">J348-K348</f>
        <v>-0.00413683199803927</v>
      </c>
    </row>
    <row r="349" customFormat="false" ht="15" hidden="false" customHeight="false" outlineLevel="0" collapsed="false">
      <c r="A349" s="4" t="s">
        <v>358</v>
      </c>
      <c r="B349" s="4" t="n">
        <v>1</v>
      </c>
      <c r="C349" s="5" t="n">
        <v>959723.51</v>
      </c>
      <c r="D349" s="5" t="n">
        <v>994073.77</v>
      </c>
      <c r="E349" s="6" t="n">
        <v>0.0226</v>
      </c>
      <c r="F349" s="7" t="n">
        <v>0.442</v>
      </c>
      <c r="G349" s="8" t="n">
        <f aca="false">MIN(75, MAX(25, F349*100))</f>
        <v>44.2</v>
      </c>
      <c r="H349" s="9" t="n">
        <f aca="false">E349*G349*D349/100</f>
        <v>9930.001703284</v>
      </c>
      <c r="I349" s="9" t="n">
        <f aca="false">E349*G349*D349/100</f>
        <v>9930.001703284</v>
      </c>
      <c r="J349" s="9" t="n">
        <f aca="false">IF(B349=1, H349, I349)</f>
        <v>9930.001703284</v>
      </c>
      <c r="K349" s="5" t="n">
        <v>9930</v>
      </c>
      <c r="L349" s="9" t="n">
        <f aca="false">J349-K349</f>
        <v>0.00170328400054132</v>
      </c>
    </row>
    <row r="350" customFormat="false" ht="15" hidden="false" customHeight="false" outlineLevel="0" collapsed="false">
      <c r="A350" s="4" t="s">
        <v>359</v>
      </c>
      <c r="B350" s="4" t="n">
        <v>3</v>
      </c>
      <c r="C350" s="5" t="n">
        <v>214795</v>
      </c>
      <c r="D350" s="5" t="n">
        <v>214947.85</v>
      </c>
      <c r="E350" s="6" t="n">
        <v>0.6844</v>
      </c>
      <c r="F350" s="7" t="n">
        <v>0.6191</v>
      </c>
      <c r="G350" s="8" t="n">
        <f aca="false">MIN(75, MAX(25, F350*100))</f>
        <v>61.91</v>
      </c>
      <c r="H350" s="9" t="n">
        <f aca="false">E350*G350*D350/100</f>
        <v>91075.992017114</v>
      </c>
      <c r="I350" s="9" t="n">
        <f aca="false">E350*G350*D350/100</f>
        <v>91075.992017114</v>
      </c>
      <c r="J350" s="9" t="n">
        <f aca="false">IF(B350=1, H350, I350)</f>
        <v>91075.992017114</v>
      </c>
      <c r="K350" s="5" t="n">
        <v>91075.99</v>
      </c>
      <c r="L350" s="9" t="n">
        <f aca="false">J350-K350</f>
        <v>0.00201711399131455</v>
      </c>
    </row>
    <row r="351" customFormat="false" ht="15" hidden="false" customHeight="false" outlineLevel="0" collapsed="false">
      <c r="A351" s="4" t="s">
        <v>360</v>
      </c>
      <c r="B351" s="4" t="n">
        <v>1</v>
      </c>
      <c r="C351" s="5" t="n">
        <v>884279.78</v>
      </c>
      <c r="D351" s="5" t="n">
        <v>892357</v>
      </c>
      <c r="E351" s="6" t="n">
        <v>0.0169</v>
      </c>
      <c r="F351" s="7" t="n">
        <v>0.5892</v>
      </c>
      <c r="G351" s="8" t="n">
        <f aca="false">MIN(75, MAX(25, F351*100))</f>
        <v>58.92</v>
      </c>
      <c r="H351" s="9" t="n">
        <f aca="false">E351*G351*D351/100</f>
        <v>8885.62698036</v>
      </c>
      <c r="I351" s="9" t="n">
        <f aca="false">E351*G351*D351/100</f>
        <v>8885.62698036</v>
      </c>
      <c r="J351" s="9" t="n">
        <f aca="false">IF(B351=1, H351, I351)</f>
        <v>8885.62698036</v>
      </c>
      <c r="K351" s="5" t="n">
        <v>8885.63</v>
      </c>
      <c r="L351" s="9" t="n">
        <f aca="false">J351-K351</f>
        <v>-0.0030196400002751</v>
      </c>
    </row>
    <row r="352" customFormat="false" ht="15" hidden="false" customHeight="false" outlineLevel="0" collapsed="false">
      <c r="A352" s="4" t="s">
        <v>361</v>
      </c>
      <c r="B352" s="4" t="n">
        <v>1</v>
      </c>
      <c r="C352" s="5" t="n">
        <v>1248970.05</v>
      </c>
      <c r="D352" s="5" t="n">
        <v>1275807.65</v>
      </c>
      <c r="E352" s="6" t="n">
        <v>0.0176</v>
      </c>
      <c r="F352" s="7" t="n">
        <v>0.3529</v>
      </c>
      <c r="G352" s="8" t="n">
        <f aca="false">MIN(75, MAX(25, F352*100))</f>
        <v>35.29</v>
      </c>
      <c r="H352" s="9" t="n">
        <f aca="false">E352*G352*D352/100</f>
        <v>7924.092346456</v>
      </c>
      <c r="I352" s="9" t="n">
        <f aca="false">E352*G352*D352/100</f>
        <v>7924.092346456</v>
      </c>
      <c r="J352" s="9" t="n">
        <f aca="false">IF(B352=1, H352, I352)</f>
        <v>7924.092346456</v>
      </c>
      <c r="K352" s="5" t="n">
        <v>7924.09</v>
      </c>
      <c r="L352" s="9" t="n">
        <f aca="false">J352-K352</f>
        <v>0.0023464559999411</v>
      </c>
    </row>
    <row r="353" customFormat="false" ht="15" hidden="false" customHeight="false" outlineLevel="0" collapsed="false">
      <c r="A353" s="4" t="s">
        <v>362</v>
      </c>
      <c r="B353" s="4" t="n">
        <v>1</v>
      </c>
      <c r="C353" s="5" t="n">
        <v>2091769.58</v>
      </c>
      <c r="D353" s="5" t="n">
        <v>2136953.36</v>
      </c>
      <c r="E353" s="6" t="n">
        <v>0.016</v>
      </c>
      <c r="F353" s="7" t="n">
        <v>0.3697</v>
      </c>
      <c r="G353" s="8" t="n">
        <f aca="false">MIN(75, MAX(25, F353*100))</f>
        <v>36.97</v>
      </c>
      <c r="H353" s="9" t="n">
        <f aca="false">E353*G353*D353/100</f>
        <v>12640.506515072</v>
      </c>
      <c r="I353" s="9" t="n">
        <f aca="false">E353*G353*D353/100</f>
        <v>12640.506515072</v>
      </c>
      <c r="J353" s="9" t="n">
        <f aca="false">IF(B353=1, H353, I353)</f>
        <v>12640.506515072</v>
      </c>
      <c r="K353" s="5" t="n">
        <v>12640.51</v>
      </c>
      <c r="L353" s="9" t="n">
        <f aca="false">J353-K353</f>
        <v>-0.00348492800003442</v>
      </c>
    </row>
    <row r="354" customFormat="false" ht="15" hidden="false" customHeight="false" outlineLevel="0" collapsed="false">
      <c r="A354" s="4" t="s">
        <v>363</v>
      </c>
      <c r="B354" s="4" t="n">
        <v>1</v>
      </c>
      <c r="C354" s="5" t="n">
        <v>472242.1</v>
      </c>
      <c r="D354" s="5" t="n">
        <v>494303.6</v>
      </c>
      <c r="E354" s="6" t="n">
        <v>0.0167</v>
      </c>
      <c r="F354" s="7" t="n">
        <v>0.4289</v>
      </c>
      <c r="G354" s="8" t="n">
        <f aca="false">MIN(75, MAX(25, F354*100))</f>
        <v>42.89</v>
      </c>
      <c r="H354" s="9" t="n">
        <f aca="false">E354*G354*D354/100</f>
        <v>3540.513794468</v>
      </c>
      <c r="I354" s="9" t="n">
        <f aca="false">E354*G354*D354/100</f>
        <v>3540.513794468</v>
      </c>
      <c r="J354" s="9" t="n">
        <f aca="false">IF(B354=1, H354, I354)</f>
        <v>3540.513794468</v>
      </c>
      <c r="K354" s="5" t="n">
        <v>3540.51</v>
      </c>
      <c r="L354" s="9" t="n">
        <f aca="false">J354-K354</f>
        <v>0.00379446799979633</v>
      </c>
    </row>
    <row r="355" customFormat="false" ht="15" hidden="false" customHeight="false" outlineLevel="0" collapsed="false">
      <c r="A355" s="4" t="s">
        <v>364</v>
      </c>
      <c r="B355" s="4" t="n">
        <v>1</v>
      </c>
      <c r="C355" s="5" t="n">
        <v>1103016.46</v>
      </c>
      <c r="D355" s="5" t="n">
        <v>1127288.51</v>
      </c>
      <c r="E355" s="6" t="n">
        <v>0.0236</v>
      </c>
      <c r="F355" s="7" t="n">
        <v>0.5353</v>
      </c>
      <c r="G355" s="8" t="n">
        <f aca="false">MIN(75, MAX(25, F355*100))</f>
        <v>53.53</v>
      </c>
      <c r="H355" s="9" t="n">
        <f aca="false">E355*G355*D355/100</f>
        <v>14241.1259299108</v>
      </c>
      <c r="I355" s="9" t="n">
        <f aca="false">E355*G355*D355/100</f>
        <v>14241.1259299108</v>
      </c>
      <c r="J355" s="9" t="n">
        <f aca="false">IF(B355=1, H355, I355)</f>
        <v>14241.1259299108</v>
      </c>
      <c r="K355" s="5" t="n">
        <v>14241.13</v>
      </c>
      <c r="L355" s="9" t="n">
        <f aca="false">J355-K355</f>
        <v>-0.00407008919864893</v>
      </c>
    </row>
    <row r="356" customFormat="false" ht="15" hidden="false" customHeight="false" outlineLevel="0" collapsed="false">
      <c r="A356" s="4" t="s">
        <v>365</v>
      </c>
      <c r="B356" s="4" t="n">
        <v>2</v>
      </c>
      <c r="C356" s="5" t="n">
        <v>2343538.32</v>
      </c>
      <c r="D356" s="5" t="n">
        <v>2407585.48</v>
      </c>
      <c r="E356" s="6" t="n">
        <v>0.1156</v>
      </c>
      <c r="F356" s="7" t="n">
        <v>0.4484</v>
      </c>
      <c r="G356" s="8" t="n">
        <f aca="false">MIN(75, MAX(25, F356*100))</f>
        <v>44.84</v>
      </c>
      <c r="H356" s="9" t="n">
        <f aca="false">E356*G356*D356/100</f>
        <v>124797.289659219</v>
      </c>
      <c r="I356" s="9" t="n">
        <f aca="false">E356*G356*D356/100</f>
        <v>124797.289659219</v>
      </c>
      <c r="J356" s="9" t="n">
        <f aca="false">IF(B356=1, H356, I356)</f>
        <v>124797.289659219</v>
      </c>
      <c r="K356" s="5" t="n">
        <v>124797.29</v>
      </c>
      <c r="L356" s="9" t="n">
        <f aca="false">J356-K356</f>
        <v>-0.000340780796250328</v>
      </c>
    </row>
    <row r="357" customFormat="false" ht="15" hidden="false" customHeight="false" outlineLevel="0" collapsed="false">
      <c r="A357" s="4" t="s">
        <v>366</v>
      </c>
      <c r="B357" s="4" t="n">
        <v>1</v>
      </c>
      <c r="C357" s="5" t="n">
        <v>583916.13</v>
      </c>
      <c r="D357" s="5" t="n">
        <v>584852.85</v>
      </c>
      <c r="E357" s="6" t="n">
        <v>0.0142</v>
      </c>
      <c r="F357" s="7" t="n">
        <v>0.4812</v>
      </c>
      <c r="G357" s="8" t="n">
        <f aca="false">MIN(75, MAX(25, F357*100))</f>
        <v>48.12</v>
      </c>
      <c r="H357" s="9" t="n">
        <f aca="false">E357*G357*D357/100</f>
        <v>3996.322918164</v>
      </c>
      <c r="I357" s="9" t="n">
        <f aca="false">E357*G357*D357/100</f>
        <v>3996.322918164</v>
      </c>
      <c r="J357" s="9" t="n">
        <f aca="false">IF(B357=1, H357, I357)</f>
        <v>3996.322918164</v>
      </c>
      <c r="K357" s="5" t="n">
        <v>3996.32</v>
      </c>
      <c r="L357" s="9" t="n">
        <f aca="false">J357-K357</f>
        <v>0.00291816400067546</v>
      </c>
    </row>
    <row r="358" customFormat="false" ht="15" hidden="false" customHeight="false" outlineLevel="0" collapsed="false">
      <c r="A358" s="4" t="s">
        <v>367</v>
      </c>
      <c r="B358" s="4" t="n">
        <v>1</v>
      </c>
      <c r="C358" s="5" t="n">
        <v>650971.25</v>
      </c>
      <c r="D358" s="5" t="n">
        <v>651249.15</v>
      </c>
      <c r="E358" s="6" t="n">
        <v>0.0215</v>
      </c>
      <c r="F358" s="7" t="n">
        <v>0.467</v>
      </c>
      <c r="G358" s="8" t="n">
        <f aca="false">MIN(75, MAX(25, F358*100))</f>
        <v>46.7</v>
      </c>
      <c r="H358" s="9" t="n">
        <f aca="false">E358*G358*D358/100</f>
        <v>6538.867090575</v>
      </c>
      <c r="I358" s="9" t="n">
        <f aca="false">E358*G358*D358/100</f>
        <v>6538.867090575</v>
      </c>
      <c r="J358" s="9" t="n">
        <f aca="false">IF(B358=1, H358, I358)</f>
        <v>6538.867090575</v>
      </c>
      <c r="K358" s="5" t="n">
        <v>6538.87</v>
      </c>
      <c r="L358" s="9" t="n">
        <f aca="false">J358-K358</f>
        <v>-0.00290942499941593</v>
      </c>
    </row>
    <row r="359" customFormat="false" ht="15" hidden="false" customHeight="false" outlineLevel="0" collapsed="false">
      <c r="A359" s="4" t="s">
        <v>368</v>
      </c>
      <c r="B359" s="4" t="n">
        <v>1</v>
      </c>
      <c r="C359" s="5" t="n">
        <v>662664.12</v>
      </c>
      <c r="D359" s="5" t="n">
        <v>666743.15</v>
      </c>
      <c r="E359" s="6" t="n">
        <v>0.0245</v>
      </c>
      <c r="F359" s="7" t="n">
        <v>0.6333</v>
      </c>
      <c r="G359" s="8" t="n">
        <f aca="false">MIN(75, MAX(25, F359*100))</f>
        <v>63.33</v>
      </c>
      <c r="H359" s="9" t="n">
        <f aca="false">E359*G359*D359/100</f>
        <v>10345.0867039275</v>
      </c>
      <c r="I359" s="9" t="n">
        <f aca="false">E359*G359*D359/100</f>
        <v>10345.0867039275</v>
      </c>
      <c r="J359" s="9" t="n">
        <f aca="false">IF(B359=1, H359, I359)</f>
        <v>10345.0867039275</v>
      </c>
      <c r="K359" s="5" t="n">
        <v>10345.09</v>
      </c>
      <c r="L359" s="9" t="n">
        <f aca="false">J359-K359</f>
        <v>-0.003296072500234</v>
      </c>
    </row>
    <row r="360" customFormat="false" ht="15" hidden="false" customHeight="false" outlineLevel="0" collapsed="false">
      <c r="A360" s="4" t="s">
        <v>369</v>
      </c>
      <c r="B360" s="4" t="n">
        <v>1</v>
      </c>
      <c r="C360" s="5" t="n">
        <v>1045259.54</v>
      </c>
      <c r="D360" s="5" t="n">
        <v>1065120.99</v>
      </c>
      <c r="E360" s="6" t="n">
        <v>0.0253</v>
      </c>
      <c r="F360" s="7" t="n">
        <v>0.3548</v>
      </c>
      <c r="G360" s="8" t="n">
        <f aca="false">MIN(75, MAX(25, F360*100))</f>
        <v>35.48</v>
      </c>
      <c r="H360" s="9" t="n">
        <f aca="false">E360*G360*D360/100</f>
        <v>9560.9946594756</v>
      </c>
      <c r="I360" s="9" t="n">
        <f aca="false">E360*G360*D360/100</f>
        <v>9560.9946594756</v>
      </c>
      <c r="J360" s="9" t="n">
        <f aca="false">IF(B360=1, H360, I360)</f>
        <v>9560.9946594756</v>
      </c>
      <c r="K360" s="5" t="n">
        <v>9560.99</v>
      </c>
      <c r="L360" s="9" t="n">
        <f aca="false">J360-K360</f>
        <v>0.00465947560223867</v>
      </c>
    </row>
    <row r="361" customFormat="false" ht="15" hidden="false" customHeight="false" outlineLevel="0" collapsed="false">
      <c r="A361" s="4" t="s">
        <v>370</v>
      </c>
      <c r="B361" s="4" t="n">
        <v>1</v>
      </c>
      <c r="C361" s="5" t="n">
        <v>358874.26</v>
      </c>
      <c r="D361" s="5" t="n">
        <v>361700.08</v>
      </c>
      <c r="E361" s="6" t="n">
        <v>0.0185</v>
      </c>
      <c r="F361" s="7" t="n">
        <v>0.4745</v>
      </c>
      <c r="G361" s="8" t="n">
        <f aca="false">MIN(75, MAX(25, F361*100))</f>
        <v>47.45</v>
      </c>
      <c r="H361" s="9" t="n">
        <f aca="false">E361*G361*D361/100</f>
        <v>3175.09372726</v>
      </c>
      <c r="I361" s="9" t="n">
        <f aca="false">E361*G361*D361/100</f>
        <v>3175.09372726</v>
      </c>
      <c r="J361" s="9" t="n">
        <f aca="false">IF(B361=1, H361, I361)</f>
        <v>3175.09372726</v>
      </c>
      <c r="K361" s="5" t="n">
        <v>3175.09</v>
      </c>
      <c r="L361" s="9" t="n">
        <f aca="false">J361-K361</f>
        <v>0.00372725999977774</v>
      </c>
    </row>
    <row r="362" customFormat="false" ht="15" hidden="false" customHeight="false" outlineLevel="0" collapsed="false">
      <c r="A362" s="4" t="s">
        <v>371</v>
      </c>
      <c r="B362" s="4" t="n">
        <v>1</v>
      </c>
      <c r="C362" s="5" t="n">
        <v>457859.9</v>
      </c>
      <c r="D362" s="5" t="n">
        <v>480037.04</v>
      </c>
      <c r="E362" s="6" t="n">
        <v>0.019</v>
      </c>
      <c r="F362" s="7" t="n">
        <v>0.3699</v>
      </c>
      <c r="G362" s="8" t="n">
        <f aca="false">MIN(75, MAX(25, F362*100))</f>
        <v>36.99</v>
      </c>
      <c r="H362" s="9" t="n">
        <f aca="false">E362*G362*D362/100</f>
        <v>3373.748320824</v>
      </c>
      <c r="I362" s="9" t="n">
        <f aca="false">E362*G362*D362/100</f>
        <v>3373.748320824</v>
      </c>
      <c r="J362" s="9" t="n">
        <f aca="false">IF(B362=1, H362, I362)</f>
        <v>3373.748320824</v>
      </c>
      <c r="K362" s="5" t="n">
        <v>3373.75</v>
      </c>
      <c r="L362" s="9" t="n">
        <f aca="false">J362-K362</f>
        <v>-0.00167917600037981</v>
      </c>
    </row>
    <row r="363" customFormat="false" ht="15" hidden="false" customHeight="false" outlineLevel="0" collapsed="false">
      <c r="A363" s="4" t="s">
        <v>372</v>
      </c>
      <c r="B363" s="4" t="n">
        <v>1</v>
      </c>
      <c r="C363" s="5" t="n">
        <v>555470.18</v>
      </c>
      <c r="D363" s="5" t="n">
        <v>575202.16</v>
      </c>
      <c r="E363" s="6" t="n">
        <v>0.0228</v>
      </c>
      <c r="F363" s="7" t="n">
        <v>0.4403</v>
      </c>
      <c r="G363" s="8" t="n">
        <f aca="false">MIN(75, MAX(25, F363*100))</f>
        <v>44.03</v>
      </c>
      <c r="H363" s="9" t="n">
        <f aca="false">E363*G363*D363/100</f>
        <v>5774.3624518944</v>
      </c>
      <c r="I363" s="9" t="n">
        <f aca="false">E363*G363*D363/100</f>
        <v>5774.3624518944</v>
      </c>
      <c r="J363" s="9" t="n">
        <f aca="false">IF(B363=1, H363, I363)</f>
        <v>5774.3624518944</v>
      </c>
      <c r="K363" s="5" t="n">
        <v>5774.36</v>
      </c>
      <c r="L363" s="9" t="n">
        <f aca="false">J363-K363</f>
        <v>0.00245189440101967</v>
      </c>
    </row>
    <row r="364" customFormat="false" ht="15" hidden="false" customHeight="false" outlineLevel="0" collapsed="false">
      <c r="A364" s="4" t="s">
        <v>373</v>
      </c>
      <c r="B364" s="4" t="n">
        <v>1</v>
      </c>
      <c r="C364" s="5" t="n">
        <v>0</v>
      </c>
      <c r="D364" s="5" t="n">
        <v>0</v>
      </c>
      <c r="E364" s="6" t="n">
        <v>0.0194</v>
      </c>
      <c r="F364" s="7" t="n">
        <v>0.4145</v>
      </c>
      <c r="G364" s="8" t="n">
        <f aca="false">MIN(75, MAX(25, F364*100))</f>
        <v>41.45</v>
      </c>
      <c r="H364" s="9" t="n">
        <f aca="false">E364*G364*D364/100</f>
        <v>0</v>
      </c>
      <c r="I364" s="9" t="n">
        <f aca="false">E364*G364*D364/100</f>
        <v>0</v>
      </c>
      <c r="J364" s="9" t="n">
        <f aca="false">IF(B364=1, H364, I364)</f>
        <v>0</v>
      </c>
      <c r="K364" s="5" t="n">
        <v>0</v>
      </c>
      <c r="L364" s="9" t="n">
        <f aca="false">J364-K364</f>
        <v>0</v>
      </c>
    </row>
    <row r="365" customFormat="false" ht="15" hidden="false" customHeight="false" outlineLevel="0" collapsed="false">
      <c r="A365" s="4" t="s">
        <v>374</v>
      </c>
      <c r="B365" s="4" t="n">
        <v>1</v>
      </c>
      <c r="C365" s="5" t="n">
        <v>752707.78</v>
      </c>
      <c r="D365" s="5" t="n">
        <v>755830.28</v>
      </c>
      <c r="E365" s="6" t="n">
        <v>0.0192</v>
      </c>
      <c r="F365" s="7" t="n">
        <v>0.6453</v>
      </c>
      <c r="G365" s="8" t="n">
        <f aca="false">MIN(75, MAX(25, F365*100))</f>
        <v>64.53</v>
      </c>
      <c r="H365" s="9" t="n">
        <f aca="false">E365*G365*D365/100</f>
        <v>9364.5557699328</v>
      </c>
      <c r="I365" s="9" t="n">
        <f aca="false">E365*G365*D365/100</f>
        <v>9364.5557699328</v>
      </c>
      <c r="J365" s="9" t="n">
        <f aca="false">IF(B365=1, H365, I365)</f>
        <v>9364.5557699328</v>
      </c>
      <c r="K365" s="5" t="n">
        <v>9364.56</v>
      </c>
      <c r="L365" s="9" t="n">
        <f aca="false">J365-K365</f>
        <v>-0.00423006719938712</v>
      </c>
    </row>
    <row r="366" customFormat="false" ht="15" hidden="false" customHeight="false" outlineLevel="0" collapsed="false">
      <c r="A366" s="4" t="s">
        <v>375</v>
      </c>
      <c r="B366" s="4" t="n">
        <v>1</v>
      </c>
      <c r="C366" s="5" t="n">
        <v>1196254.02</v>
      </c>
      <c r="D366" s="5" t="n">
        <v>1253617.8</v>
      </c>
      <c r="E366" s="6" t="n">
        <v>0.0243</v>
      </c>
      <c r="F366" s="7" t="n">
        <v>0.4335</v>
      </c>
      <c r="G366" s="8" t="n">
        <f aca="false">MIN(75, MAX(25, F366*100))</f>
        <v>43.35</v>
      </c>
      <c r="H366" s="9" t="n">
        <f aca="false">E366*G366*D366/100</f>
        <v>13205.67258609</v>
      </c>
      <c r="I366" s="9" t="n">
        <f aca="false">E366*G366*D366/100</f>
        <v>13205.67258609</v>
      </c>
      <c r="J366" s="9" t="n">
        <f aca="false">IF(B366=1, H366, I366)</f>
        <v>13205.67258609</v>
      </c>
      <c r="K366" s="5" t="n">
        <v>13205.67</v>
      </c>
      <c r="L366" s="9" t="n">
        <f aca="false">J366-K366</f>
        <v>0.00258608999865828</v>
      </c>
    </row>
    <row r="367" customFormat="false" ht="15" hidden="false" customHeight="false" outlineLevel="0" collapsed="false">
      <c r="A367" s="4" t="s">
        <v>376</v>
      </c>
      <c r="B367" s="4" t="n">
        <v>1</v>
      </c>
      <c r="C367" s="5" t="n">
        <v>0</v>
      </c>
      <c r="D367" s="5" t="n">
        <v>0</v>
      </c>
      <c r="E367" s="6" t="n">
        <v>0.0165</v>
      </c>
      <c r="F367" s="7" t="n">
        <v>0.3927</v>
      </c>
      <c r="G367" s="8" t="n">
        <f aca="false">MIN(75, MAX(25, F367*100))</f>
        <v>39.27</v>
      </c>
      <c r="H367" s="9" t="n">
        <f aca="false">E367*G367*D367/100</f>
        <v>0</v>
      </c>
      <c r="I367" s="9" t="n">
        <f aca="false">E367*G367*D367/100</f>
        <v>0</v>
      </c>
      <c r="J367" s="9" t="n">
        <f aca="false">IF(B367=1, H367, I367)</f>
        <v>0</v>
      </c>
      <c r="K367" s="5" t="n">
        <v>0</v>
      </c>
      <c r="L367" s="9" t="n">
        <f aca="false">J367-K367</f>
        <v>0</v>
      </c>
    </row>
    <row r="368" customFormat="false" ht="15" hidden="false" customHeight="false" outlineLevel="0" collapsed="false">
      <c r="A368" s="4" t="s">
        <v>377</v>
      </c>
      <c r="B368" s="4" t="n">
        <v>1</v>
      </c>
      <c r="C368" s="5" t="n">
        <v>2041648.8</v>
      </c>
      <c r="D368" s="5" t="n">
        <v>2139620.83</v>
      </c>
      <c r="E368" s="6" t="n">
        <v>0.0151</v>
      </c>
      <c r="F368" s="7" t="n">
        <v>0.5695</v>
      </c>
      <c r="G368" s="8" t="n">
        <f aca="false">MIN(75, MAX(25, F368*100))</f>
        <v>56.95</v>
      </c>
      <c r="H368" s="9" t="n">
        <f aca="false">E368*G368*D368/100</f>
        <v>18399.5623465435</v>
      </c>
      <c r="I368" s="9" t="n">
        <f aca="false">E368*G368*D368/100</f>
        <v>18399.5623465435</v>
      </c>
      <c r="J368" s="9" t="n">
        <f aca="false">IF(B368=1, H368, I368)</f>
        <v>18399.5623465435</v>
      </c>
      <c r="K368" s="5" t="n">
        <v>18399.56</v>
      </c>
      <c r="L368" s="9" t="n">
        <f aca="false">J368-K368</f>
        <v>0.00234654350060737</v>
      </c>
    </row>
    <row r="369" customFormat="false" ht="15" hidden="false" customHeight="false" outlineLevel="0" collapsed="false">
      <c r="A369" s="4" t="s">
        <v>378</v>
      </c>
      <c r="B369" s="4" t="n">
        <v>1</v>
      </c>
      <c r="C369" s="5" t="n">
        <v>2603475.25</v>
      </c>
      <c r="D369" s="5" t="n">
        <v>2690373.66</v>
      </c>
      <c r="E369" s="6" t="n">
        <v>0.0213</v>
      </c>
      <c r="F369" s="7" t="n">
        <v>0.6111</v>
      </c>
      <c r="G369" s="8" t="n">
        <f aca="false">MIN(75, MAX(25, F369*100))</f>
        <v>61.11</v>
      </c>
      <c r="H369" s="9" t="n">
        <f aca="false">E369*G369*D369/100</f>
        <v>35019.0604192338</v>
      </c>
      <c r="I369" s="9" t="n">
        <f aca="false">E369*G369*D369/100</f>
        <v>35019.0604192338</v>
      </c>
      <c r="J369" s="9" t="n">
        <f aca="false">IF(B369=1, H369, I369)</f>
        <v>35019.0604192338</v>
      </c>
      <c r="K369" s="5" t="n">
        <v>35019.06</v>
      </c>
      <c r="L369" s="9" t="n">
        <f aca="false">J369-K369</f>
        <v>0.000419233801949304</v>
      </c>
    </row>
    <row r="370" customFormat="false" ht="15" hidden="false" customHeight="false" outlineLevel="0" collapsed="false">
      <c r="A370" s="4" t="s">
        <v>379</v>
      </c>
      <c r="B370" s="4" t="n">
        <v>1</v>
      </c>
      <c r="C370" s="5" t="n">
        <v>0</v>
      </c>
      <c r="D370" s="5" t="n">
        <v>0</v>
      </c>
      <c r="E370" s="6" t="n">
        <v>0.0238</v>
      </c>
      <c r="F370" s="7" t="n">
        <v>0.4532</v>
      </c>
      <c r="G370" s="8" t="n">
        <f aca="false">MIN(75, MAX(25, F370*100))</f>
        <v>45.32</v>
      </c>
      <c r="H370" s="9" t="n">
        <f aca="false">E370*G370*D370/100</f>
        <v>0</v>
      </c>
      <c r="I370" s="9" t="n">
        <f aca="false">E370*G370*D370/100</f>
        <v>0</v>
      </c>
      <c r="J370" s="9" t="n">
        <f aca="false">IF(B370=1, H370, I370)</f>
        <v>0</v>
      </c>
      <c r="K370" s="5" t="n">
        <v>0</v>
      </c>
      <c r="L370" s="9" t="n">
        <f aca="false">J370-K370</f>
        <v>0</v>
      </c>
    </row>
    <row r="371" customFormat="false" ht="15" hidden="false" customHeight="false" outlineLevel="0" collapsed="false">
      <c r="A371" s="4" t="s">
        <v>380</v>
      </c>
      <c r="B371" s="4" t="n">
        <v>2</v>
      </c>
      <c r="C371" s="5" t="n">
        <v>468343.48</v>
      </c>
      <c r="D371" s="5" t="n">
        <v>476807.93</v>
      </c>
      <c r="E371" s="6" t="n">
        <v>0.1083</v>
      </c>
      <c r="F371" s="7" t="n">
        <v>0.4813</v>
      </c>
      <c r="G371" s="8" t="n">
        <f aca="false">MIN(75, MAX(25, F371*100))</f>
        <v>48.13</v>
      </c>
      <c r="H371" s="9" t="n">
        <f aca="false">E371*G371*D371/100</f>
        <v>24853.5132215847</v>
      </c>
      <c r="I371" s="9" t="n">
        <f aca="false">E371*G371*D371/100</f>
        <v>24853.5132215847</v>
      </c>
      <c r="J371" s="9" t="n">
        <f aca="false">IF(B371=1, H371, I371)</f>
        <v>24853.5132215847</v>
      </c>
      <c r="K371" s="5" t="n">
        <v>24853.51</v>
      </c>
      <c r="L371" s="9" t="n">
        <f aca="false">J371-K371</f>
        <v>0.00322158469862188</v>
      </c>
    </row>
    <row r="372" customFormat="false" ht="15" hidden="false" customHeight="false" outlineLevel="0" collapsed="false">
      <c r="A372" s="4" t="s">
        <v>381</v>
      </c>
      <c r="B372" s="4" t="n">
        <v>1</v>
      </c>
      <c r="C372" s="5" t="n">
        <v>631244.1</v>
      </c>
      <c r="D372" s="5" t="n">
        <v>632530.98</v>
      </c>
      <c r="E372" s="6" t="n">
        <v>0.026</v>
      </c>
      <c r="F372" s="7" t="n">
        <v>0.4828</v>
      </c>
      <c r="G372" s="8" t="n">
        <f aca="false">MIN(75, MAX(25, F372*100))</f>
        <v>48.28</v>
      </c>
      <c r="H372" s="9" t="n">
        <f aca="false">E372*G372*D372/100</f>
        <v>7940.034885744</v>
      </c>
      <c r="I372" s="9" t="n">
        <f aca="false">E372*G372*D372/100</f>
        <v>7940.034885744</v>
      </c>
      <c r="J372" s="9" t="n">
        <f aca="false">IF(B372=1, H372, I372)</f>
        <v>7940.034885744</v>
      </c>
      <c r="K372" s="5" t="n">
        <v>7940.03</v>
      </c>
      <c r="L372" s="9" t="n">
        <f aca="false">J372-K372</f>
        <v>0.00488574399969366</v>
      </c>
    </row>
    <row r="373" customFormat="false" ht="15" hidden="false" customHeight="false" outlineLevel="0" collapsed="false">
      <c r="A373" s="4" t="s">
        <v>382</v>
      </c>
      <c r="B373" s="4" t="n">
        <v>1</v>
      </c>
      <c r="C373" s="5" t="n">
        <v>76435.09</v>
      </c>
      <c r="D373" s="5" t="n">
        <v>79084.33</v>
      </c>
      <c r="E373" s="6" t="n">
        <v>0.0205</v>
      </c>
      <c r="F373" s="7" t="n">
        <v>0.3731</v>
      </c>
      <c r="G373" s="8" t="n">
        <f aca="false">MIN(75, MAX(25, F373*100))</f>
        <v>37.31</v>
      </c>
      <c r="H373" s="9" t="n">
        <f aca="false">E373*G373*D373/100</f>
        <v>604.8804522215</v>
      </c>
      <c r="I373" s="9" t="n">
        <f aca="false">E373*G373*D373/100</f>
        <v>604.8804522215</v>
      </c>
      <c r="J373" s="9" t="n">
        <f aca="false">IF(B373=1, H373, I373)</f>
        <v>604.8804522215</v>
      </c>
      <c r="K373" s="5" t="n">
        <v>604.88</v>
      </c>
      <c r="L373" s="9" t="n">
        <f aca="false">J373-K373</f>
        <v>0.00045222150004065</v>
      </c>
    </row>
    <row r="374" customFormat="false" ht="15" hidden="false" customHeight="false" outlineLevel="0" collapsed="false">
      <c r="A374" s="4" t="s">
        <v>383</v>
      </c>
      <c r="B374" s="4" t="n">
        <v>1</v>
      </c>
      <c r="C374" s="5" t="n">
        <v>293252.32</v>
      </c>
      <c r="D374" s="5" t="n">
        <v>303252.33</v>
      </c>
      <c r="E374" s="6" t="n">
        <v>0.0244</v>
      </c>
      <c r="F374" s="7" t="n">
        <v>0.3944</v>
      </c>
      <c r="G374" s="8" t="n">
        <f aca="false">MIN(75, MAX(25, F374*100))</f>
        <v>39.44</v>
      </c>
      <c r="H374" s="9" t="n">
        <f aca="false">E374*G374*D374/100</f>
        <v>2918.3063424288</v>
      </c>
      <c r="I374" s="9" t="n">
        <f aca="false">E374*G374*D374/100</f>
        <v>2918.3063424288</v>
      </c>
      <c r="J374" s="9" t="n">
        <f aca="false">IF(B374=1, H374, I374)</f>
        <v>2918.3063424288</v>
      </c>
      <c r="K374" s="5" t="n">
        <v>2918.31</v>
      </c>
      <c r="L374" s="9" t="n">
        <f aca="false">J374-K374</f>
        <v>-0.00365757120016497</v>
      </c>
    </row>
    <row r="375" customFormat="false" ht="15" hidden="false" customHeight="false" outlineLevel="0" collapsed="false">
      <c r="A375" s="4" t="s">
        <v>384</v>
      </c>
      <c r="B375" s="4" t="n">
        <v>3</v>
      </c>
      <c r="C375" s="5" t="n">
        <v>1119940.27</v>
      </c>
      <c r="D375" s="5" t="n">
        <v>1153623.9</v>
      </c>
      <c r="E375" s="6" t="n">
        <v>0.9686</v>
      </c>
      <c r="F375" s="7" t="n">
        <v>0.4246</v>
      </c>
      <c r="G375" s="8" t="n">
        <f aca="false">MIN(75, MAX(25, F375*100))</f>
        <v>42.46</v>
      </c>
      <c r="H375" s="9" t="n">
        <f aca="false">E375*G375*D375/100</f>
        <v>474448.086510684</v>
      </c>
      <c r="I375" s="9" t="n">
        <f aca="false">E375*G375*D375/100</f>
        <v>474448.086510684</v>
      </c>
      <c r="J375" s="9" t="n">
        <f aca="false">IF(B375=1, H375, I375)</f>
        <v>474448.086510684</v>
      </c>
      <c r="K375" s="5" t="n">
        <v>474448.09</v>
      </c>
      <c r="L375" s="9" t="n">
        <f aca="false">J375-K375</f>
        <v>-0.00348931603366509</v>
      </c>
    </row>
    <row r="376" customFormat="false" ht="15" hidden="false" customHeight="false" outlineLevel="0" collapsed="false">
      <c r="A376" s="4" t="s">
        <v>385</v>
      </c>
      <c r="B376" s="4" t="n">
        <v>1</v>
      </c>
      <c r="C376" s="5" t="n">
        <v>816577.91</v>
      </c>
      <c r="D376" s="5" t="n">
        <v>817410.85</v>
      </c>
      <c r="E376" s="6" t="n">
        <v>0.023</v>
      </c>
      <c r="F376" s="7" t="n">
        <v>0.5072</v>
      </c>
      <c r="G376" s="8" t="n">
        <f aca="false">MIN(75, MAX(25, F376*100))</f>
        <v>50.72</v>
      </c>
      <c r="H376" s="9" t="n">
        <f aca="false">E376*G376*D376/100</f>
        <v>9535.58801176</v>
      </c>
      <c r="I376" s="9" t="n">
        <f aca="false">E376*G376*D376/100</f>
        <v>9535.58801176</v>
      </c>
      <c r="J376" s="9" t="n">
        <f aca="false">IF(B376=1, H376, I376)</f>
        <v>9535.58801176</v>
      </c>
      <c r="K376" s="5" t="n">
        <v>9535.59</v>
      </c>
      <c r="L376" s="9" t="n">
        <f aca="false">J376-K376</f>
        <v>-0.0019882399992639</v>
      </c>
    </row>
    <row r="377" customFormat="false" ht="15" hidden="false" customHeight="false" outlineLevel="0" collapsed="false">
      <c r="A377" s="4" t="s">
        <v>386</v>
      </c>
      <c r="B377" s="4" t="n">
        <v>1</v>
      </c>
      <c r="C377" s="5" t="n">
        <v>33400.23</v>
      </c>
      <c r="D377" s="5" t="n">
        <v>34883.59</v>
      </c>
      <c r="E377" s="6" t="n">
        <v>0.0215</v>
      </c>
      <c r="F377" s="7" t="n">
        <v>0.6306</v>
      </c>
      <c r="G377" s="8" t="n">
        <f aca="false">MIN(75, MAX(25, F377*100))</f>
        <v>63.06</v>
      </c>
      <c r="H377" s="9" t="n">
        <f aca="false">E377*G377*D377/100</f>
        <v>472.948224861</v>
      </c>
      <c r="I377" s="9" t="n">
        <f aca="false">E377*G377*D377/100</f>
        <v>472.948224861</v>
      </c>
      <c r="J377" s="9" t="n">
        <f aca="false">IF(B377=1, H377, I377)</f>
        <v>472.948224861</v>
      </c>
      <c r="K377" s="5" t="n">
        <v>472.95</v>
      </c>
      <c r="L377" s="9" t="n">
        <f aca="false">J377-K377</f>
        <v>-0.00177513900001713</v>
      </c>
    </row>
    <row r="378" customFormat="false" ht="15" hidden="false" customHeight="false" outlineLevel="0" collapsed="false">
      <c r="A378" s="4" t="s">
        <v>387</v>
      </c>
      <c r="B378" s="4" t="n">
        <v>1</v>
      </c>
      <c r="C378" s="5" t="n">
        <v>546539.02</v>
      </c>
      <c r="D378" s="5" t="n">
        <v>564432.82</v>
      </c>
      <c r="E378" s="6" t="n">
        <v>0.0242</v>
      </c>
      <c r="F378" s="7" t="n">
        <v>0.3773</v>
      </c>
      <c r="G378" s="8" t="n">
        <f aca="false">MIN(75, MAX(25, F378*100))</f>
        <v>37.73</v>
      </c>
      <c r="H378" s="9" t="n">
        <f aca="false">E378*G378*D378/100</f>
        <v>5153.6441722612</v>
      </c>
      <c r="I378" s="9" t="n">
        <f aca="false">E378*G378*D378/100</f>
        <v>5153.6441722612</v>
      </c>
      <c r="J378" s="9" t="n">
        <f aca="false">IF(B378=1, H378, I378)</f>
        <v>5153.6441722612</v>
      </c>
      <c r="K378" s="5" t="n">
        <v>5153.64</v>
      </c>
      <c r="L378" s="9" t="n">
        <f aca="false">J378-K378</f>
        <v>0.00417226119952829</v>
      </c>
    </row>
    <row r="379" customFormat="false" ht="15" hidden="false" customHeight="false" outlineLevel="0" collapsed="false">
      <c r="A379" s="4" t="s">
        <v>388</v>
      </c>
      <c r="B379" s="4" t="n">
        <v>1</v>
      </c>
      <c r="C379" s="5" t="n">
        <v>1869928.74</v>
      </c>
      <c r="D379" s="5" t="n">
        <v>1954101.37</v>
      </c>
      <c r="E379" s="6" t="n">
        <v>0.0177</v>
      </c>
      <c r="F379" s="7" t="n">
        <v>0.5262</v>
      </c>
      <c r="G379" s="8" t="n">
        <f aca="false">MIN(75, MAX(25, F379*100))</f>
        <v>52.62</v>
      </c>
      <c r="H379" s="9" t="n">
        <f aca="false">E379*G379*D379/100</f>
        <v>18199.9920938238</v>
      </c>
      <c r="I379" s="9" t="n">
        <f aca="false">E379*G379*D379/100</f>
        <v>18199.9920938238</v>
      </c>
      <c r="J379" s="9" t="n">
        <f aca="false">IF(B379=1, H379, I379)</f>
        <v>18199.9920938238</v>
      </c>
      <c r="K379" s="5" t="n">
        <v>18199.99</v>
      </c>
      <c r="L379" s="9" t="n">
        <f aca="false">J379-K379</f>
        <v>0.00209382379762246</v>
      </c>
    </row>
    <row r="380" customFormat="false" ht="15" hidden="false" customHeight="false" outlineLevel="0" collapsed="false">
      <c r="A380" s="4" t="s">
        <v>389</v>
      </c>
      <c r="B380" s="4" t="n">
        <v>2</v>
      </c>
      <c r="C380" s="5" t="n">
        <v>430428.03</v>
      </c>
      <c r="D380" s="5" t="n">
        <v>435601.5</v>
      </c>
      <c r="E380" s="6" t="n">
        <v>0.1506</v>
      </c>
      <c r="F380" s="7" t="n">
        <v>0.3514</v>
      </c>
      <c r="G380" s="8" t="n">
        <f aca="false">MIN(75, MAX(25, F380*100))</f>
        <v>35.14</v>
      </c>
      <c r="H380" s="9" t="n">
        <f aca="false">E380*G380*D380/100</f>
        <v>23052.39728526</v>
      </c>
      <c r="I380" s="9" t="n">
        <f aca="false">E380*G380*D380/100</f>
        <v>23052.39728526</v>
      </c>
      <c r="J380" s="9" t="n">
        <f aca="false">IF(B380=1, H380, I380)</f>
        <v>23052.39728526</v>
      </c>
      <c r="K380" s="5" t="n">
        <v>23052.4</v>
      </c>
      <c r="L380" s="9" t="n">
        <f aca="false">J380-K380</f>
        <v>-0.00271473999600858</v>
      </c>
    </row>
    <row r="381" customFormat="false" ht="15" hidden="false" customHeight="false" outlineLevel="0" collapsed="false">
      <c r="A381" s="4" t="s">
        <v>390</v>
      </c>
      <c r="B381" s="4" t="n">
        <v>1</v>
      </c>
      <c r="C381" s="5" t="n">
        <v>588672.24</v>
      </c>
      <c r="D381" s="5" t="n">
        <v>609158.09</v>
      </c>
      <c r="E381" s="6" t="n">
        <v>0.0215</v>
      </c>
      <c r="F381" s="7" t="n">
        <v>0.4686</v>
      </c>
      <c r="G381" s="8" t="n">
        <f aca="false">MIN(75, MAX(25, F381*100))</f>
        <v>46.86</v>
      </c>
      <c r="H381" s="9" t="n">
        <f aca="false">E381*G381*D381/100</f>
        <v>6137.206840941</v>
      </c>
      <c r="I381" s="9" t="n">
        <f aca="false">E381*G381*D381/100</f>
        <v>6137.206840941</v>
      </c>
      <c r="J381" s="9" t="n">
        <f aca="false">IF(B381=1, H381, I381)</f>
        <v>6137.206840941</v>
      </c>
      <c r="K381" s="5" t="n">
        <v>6137.21</v>
      </c>
      <c r="L381" s="9" t="n">
        <f aca="false">J381-K381</f>
        <v>-0.00315905900060898</v>
      </c>
    </row>
    <row r="382" customFormat="false" ht="15" hidden="false" customHeight="false" outlineLevel="0" collapsed="false">
      <c r="A382" s="4" t="s">
        <v>391</v>
      </c>
      <c r="B382" s="4" t="n">
        <v>1</v>
      </c>
      <c r="C382" s="5" t="n">
        <v>1023915.53</v>
      </c>
      <c r="D382" s="5" t="n">
        <v>1027366.14</v>
      </c>
      <c r="E382" s="6" t="n">
        <v>0.015</v>
      </c>
      <c r="F382" s="7" t="n">
        <v>0.5581</v>
      </c>
      <c r="G382" s="8" t="n">
        <f aca="false">MIN(75, MAX(25, F382*100))</f>
        <v>55.81</v>
      </c>
      <c r="H382" s="9" t="n">
        <f aca="false">E382*G382*D382/100</f>
        <v>8600.59564101</v>
      </c>
      <c r="I382" s="9" t="n">
        <f aca="false">E382*G382*D382/100</f>
        <v>8600.59564101</v>
      </c>
      <c r="J382" s="9" t="n">
        <f aca="false">IF(B382=1, H382, I382)</f>
        <v>8600.59564101</v>
      </c>
      <c r="K382" s="5" t="n">
        <v>8600.6</v>
      </c>
      <c r="L382" s="9" t="n">
        <f aca="false">J382-K382</f>
        <v>-0.0043589900014922</v>
      </c>
    </row>
    <row r="383" customFormat="false" ht="15" hidden="false" customHeight="false" outlineLevel="0" collapsed="false">
      <c r="A383" s="4" t="s">
        <v>392</v>
      </c>
      <c r="B383" s="4" t="n">
        <v>1</v>
      </c>
      <c r="C383" s="5" t="n">
        <v>582374.74</v>
      </c>
      <c r="D383" s="5" t="n">
        <v>589531.43</v>
      </c>
      <c r="E383" s="6" t="n">
        <v>0.0245</v>
      </c>
      <c r="F383" s="7" t="n">
        <v>0.3708</v>
      </c>
      <c r="G383" s="8" t="n">
        <f aca="false">MIN(75, MAX(25, F383*100))</f>
        <v>37.08</v>
      </c>
      <c r="H383" s="9" t="n">
        <f aca="false">E383*G383*D383/100</f>
        <v>5355.657228978</v>
      </c>
      <c r="I383" s="9" t="n">
        <f aca="false">E383*G383*D383/100</f>
        <v>5355.657228978</v>
      </c>
      <c r="J383" s="9" t="n">
        <f aca="false">IF(B383=1, H383, I383)</f>
        <v>5355.657228978</v>
      </c>
      <c r="K383" s="5" t="n">
        <v>5355.66</v>
      </c>
      <c r="L383" s="9" t="n">
        <f aca="false">J383-K383</f>
        <v>-0.00277102199925139</v>
      </c>
    </row>
    <row r="384" customFormat="false" ht="15" hidden="false" customHeight="false" outlineLevel="0" collapsed="false">
      <c r="A384" s="4" t="s">
        <v>393</v>
      </c>
      <c r="B384" s="4" t="n">
        <v>1</v>
      </c>
      <c r="C384" s="5" t="n">
        <v>371831.45</v>
      </c>
      <c r="D384" s="5" t="n">
        <v>384527.28</v>
      </c>
      <c r="E384" s="6" t="n">
        <v>0.0194</v>
      </c>
      <c r="F384" s="7" t="n">
        <v>0.5744</v>
      </c>
      <c r="G384" s="8" t="n">
        <f aca="false">MIN(75, MAX(25, F384*100))</f>
        <v>57.44</v>
      </c>
      <c r="H384" s="9" t="n">
        <f aca="false">E384*G384*D384/100</f>
        <v>4284.9259108608</v>
      </c>
      <c r="I384" s="9" t="n">
        <f aca="false">E384*G384*D384/100</f>
        <v>4284.9259108608</v>
      </c>
      <c r="J384" s="9" t="n">
        <f aca="false">IF(B384=1, H384, I384)</f>
        <v>4284.9259108608</v>
      </c>
      <c r="K384" s="5" t="n">
        <v>4284.93</v>
      </c>
      <c r="L384" s="9" t="n">
        <f aca="false">J384-K384</f>
        <v>-0.00408913919909537</v>
      </c>
    </row>
    <row r="385" customFormat="false" ht="15" hidden="false" customHeight="false" outlineLevel="0" collapsed="false">
      <c r="A385" s="4" t="s">
        <v>394</v>
      </c>
      <c r="B385" s="4" t="n">
        <v>1</v>
      </c>
      <c r="C385" s="5" t="n">
        <v>890104.48</v>
      </c>
      <c r="D385" s="5" t="n">
        <v>919717.07</v>
      </c>
      <c r="E385" s="6" t="n">
        <v>0.0196</v>
      </c>
      <c r="F385" s="7" t="n">
        <v>0.4513</v>
      </c>
      <c r="G385" s="8" t="n">
        <f aca="false">MIN(75, MAX(25, F385*100))</f>
        <v>45.13</v>
      </c>
      <c r="H385" s="9" t="n">
        <f aca="false">E385*G385*D385/100</f>
        <v>8135.3389483436</v>
      </c>
      <c r="I385" s="9" t="n">
        <f aca="false">E385*G385*D385/100</f>
        <v>8135.3389483436</v>
      </c>
      <c r="J385" s="9" t="n">
        <f aca="false">IF(B385=1, H385, I385)</f>
        <v>8135.3389483436</v>
      </c>
      <c r="K385" s="5" t="n">
        <v>8135.34</v>
      </c>
      <c r="L385" s="9" t="n">
        <f aca="false">J385-K385</f>
        <v>-0.00105165640161431</v>
      </c>
    </row>
    <row r="386" customFormat="false" ht="15" hidden="false" customHeight="false" outlineLevel="0" collapsed="false">
      <c r="A386" s="4" t="s">
        <v>395</v>
      </c>
      <c r="B386" s="4" t="n">
        <v>1</v>
      </c>
      <c r="C386" s="5" t="n">
        <v>1325707.51</v>
      </c>
      <c r="D386" s="5" t="n">
        <v>1369919.43</v>
      </c>
      <c r="E386" s="6" t="n">
        <v>0.0223</v>
      </c>
      <c r="F386" s="7" t="n">
        <v>0.4658</v>
      </c>
      <c r="G386" s="8" t="n">
        <f aca="false">MIN(75, MAX(25, F386*100))</f>
        <v>46.58</v>
      </c>
      <c r="H386" s="9" t="n">
        <f aca="false">E386*G386*D386/100</f>
        <v>14229.8188920162</v>
      </c>
      <c r="I386" s="9" t="n">
        <f aca="false">E386*G386*D386/100</f>
        <v>14229.8188920162</v>
      </c>
      <c r="J386" s="9" t="n">
        <f aca="false">IF(B386=1, H386, I386)</f>
        <v>14229.8188920162</v>
      </c>
      <c r="K386" s="5" t="n">
        <v>14229.82</v>
      </c>
      <c r="L386" s="9" t="n">
        <f aca="false">J386-K386</f>
        <v>-0.00110798380046617</v>
      </c>
    </row>
    <row r="387" customFormat="false" ht="15" hidden="false" customHeight="false" outlineLevel="0" collapsed="false">
      <c r="A387" s="4" t="s">
        <v>396</v>
      </c>
      <c r="B387" s="4" t="n">
        <v>1</v>
      </c>
      <c r="C387" s="5" t="n">
        <v>1179097.3</v>
      </c>
      <c r="D387" s="5" t="n">
        <v>1232701.75</v>
      </c>
      <c r="E387" s="6" t="n">
        <v>0.0241</v>
      </c>
      <c r="F387" s="7" t="n">
        <v>0.4589</v>
      </c>
      <c r="G387" s="8" t="n">
        <f aca="false">MIN(75, MAX(25, F387*100))</f>
        <v>45.89</v>
      </c>
      <c r="H387" s="9" t="n">
        <f aca="false">E387*G387*D387/100</f>
        <v>13633.0526771075</v>
      </c>
      <c r="I387" s="9" t="n">
        <f aca="false">E387*G387*D387/100</f>
        <v>13633.0526771075</v>
      </c>
      <c r="J387" s="9" t="n">
        <f aca="false">IF(B387=1, H387, I387)</f>
        <v>13633.0526771075</v>
      </c>
      <c r="K387" s="5" t="n">
        <v>13633.05</v>
      </c>
      <c r="L387" s="9" t="n">
        <f aca="false">J387-K387</f>
        <v>0.00267710750085826</v>
      </c>
    </row>
    <row r="388" customFormat="false" ht="15" hidden="false" customHeight="false" outlineLevel="0" collapsed="false">
      <c r="A388" s="4" t="s">
        <v>397</v>
      </c>
      <c r="B388" s="4" t="n">
        <v>1</v>
      </c>
      <c r="C388" s="5" t="n">
        <v>280405.68</v>
      </c>
      <c r="D388" s="5" t="n">
        <v>282955.04</v>
      </c>
      <c r="E388" s="6" t="n">
        <v>0.0252</v>
      </c>
      <c r="F388" s="7" t="n">
        <v>0.5255</v>
      </c>
      <c r="G388" s="8" t="n">
        <f aca="false">MIN(75, MAX(25, F388*100))</f>
        <v>52.55</v>
      </c>
      <c r="H388" s="9" t="n">
        <f aca="false">E388*G388*D388/100</f>
        <v>3747.060412704</v>
      </c>
      <c r="I388" s="9" t="n">
        <f aca="false">E388*G388*D388/100</f>
        <v>3747.060412704</v>
      </c>
      <c r="J388" s="9" t="n">
        <f aca="false">IF(B388=1, H388, I388)</f>
        <v>3747.060412704</v>
      </c>
      <c r="K388" s="5" t="n">
        <v>3747.06</v>
      </c>
      <c r="L388" s="9" t="n">
        <f aca="false">J388-K388</f>
        <v>0.000412704000154918</v>
      </c>
    </row>
    <row r="389" customFormat="false" ht="15" hidden="false" customHeight="false" outlineLevel="0" collapsed="false">
      <c r="A389" s="4" t="s">
        <v>398</v>
      </c>
      <c r="B389" s="4" t="n">
        <v>1</v>
      </c>
      <c r="C389" s="5" t="n">
        <v>131748.21</v>
      </c>
      <c r="D389" s="5" t="n">
        <v>132090.83</v>
      </c>
      <c r="E389" s="6" t="n">
        <v>0.0199</v>
      </c>
      <c r="F389" s="7" t="n">
        <v>0.6217</v>
      </c>
      <c r="G389" s="8" t="n">
        <f aca="false">MIN(75, MAX(25, F389*100))</f>
        <v>62.17</v>
      </c>
      <c r="H389" s="9" t="n">
        <f aca="false">E389*G389*D389/100</f>
        <v>1634.2052933189</v>
      </c>
      <c r="I389" s="9" t="n">
        <f aca="false">E389*G389*D389/100</f>
        <v>1634.2052933189</v>
      </c>
      <c r="J389" s="9" t="n">
        <f aca="false">IF(B389=1, H389, I389)</f>
        <v>1634.2052933189</v>
      </c>
      <c r="K389" s="5" t="n">
        <v>1634.21</v>
      </c>
      <c r="L389" s="9" t="n">
        <f aca="false">J389-K389</f>
        <v>-0.00470668110006045</v>
      </c>
    </row>
    <row r="390" customFormat="false" ht="15" hidden="false" customHeight="false" outlineLevel="0" collapsed="false">
      <c r="A390" s="4" t="s">
        <v>399</v>
      </c>
      <c r="B390" s="4" t="n">
        <v>1</v>
      </c>
      <c r="C390" s="5" t="n">
        <v>299600</v>
      </c>
      <c r="D390" s="5" t="n">
        <v>313363.27</v>
      </c>
      <c r="E390" s="6" t="n">
        <v>0.0172</v>
      </c>
      <c r="F390" s="7" t="n">
        <v>0.624</v>
      </c>
      <c r="G390" s="8" t="n">
        <f aca="false">MIN(75, MAX(25, F390*100))</f>
        <v>62.4</v>
      </c>
      <c r="H390" s="9" t="n">
        <f aca="false">E390*G390*D390/100</f>
        <v>3363.265304256</v>
      </c>
      <c r="I390" s="9" t="n">
        <f aca="false">E390*G390*D390/100</f>
        <v>3363.265304256</v>
      </c>
      <c r="J390" s="9" t="n">
        <f aca="false">IF(B390=1, H390, I390)</f>
        <v>3363.265304256</v>
      </c>
      <c r="K390" s="5" t="n">
        <v>3363.27</v>
      </c>
      <c r="L390" s="9" t="n">
        <f aca="false">J390-K390</f>
        <v>-0.00469574399994599</v>
      </c>
    </row>
    <row r="391" customFormat="false" ht="15" hidden="false" customHeight="false" outlineLevel="0" collapsed="false">
      <c r="A391" s="4" t="s">
        <v>400</v>
      </c>
      <c r="B391" s="4" t="n">
        <v>1</v>
      </c>
      <c r="C391" s="5" t="n">
        <v>0</v>
      </c>
      <c r="D391" s="5" t="n">
        <v>0</v>
      </c>
      <c r="E391" s="6" t="n">
        <v>0.0192</v>
      </c>
      <c r="F391" s="7" t="n">
        <v>0.5557</v>
      </c>
      <c r="G391" s="8" t="n">
        <f aca="false">MIN(75, MAX(25, F391*100))</f>
        <v>55.57</v>
      </c>
      <c r="H391" s="9" t="n">
        <f aca="false">E391*G391*D391/100</f>
        <v>0</v>
      </c>
      <c r="I391" s="9" t="n">
        <f aca="false">E391*G391*D391/100</f>
        <v>0</v>
      </c>
      <c r="J391" s="9" t="n">
        <f aca="false">IF(B391=1, H391, I391)</f>
        <v>0</v>
      </c>
      <c r="K391" s="5" t="n">
        <v>0</v>
      </c>
      <c r="L391" s="9" t="n">
        <f aca="false">J391-K391</f>
        <v>0</v>
      </c>
    </row>
    <row r="392" customFormat="false" ht="15" hidden="false" customHeight="false" outlineLevel="0" collapsed="false">
      <c r="A392" s="4" t="s">
        <v>401</v>
      </c>
      <c r="B392" s="4" t="n">
        <v>1</v>
      </c>
      <c r="C392" s="5" t="n">
        <v>702143.39</v>
      </c>
      <c r="D392" s="5" t="n">
        <v>717117.42</v>
      </c>
      <c r="E392" s="6" t="n">
        <v>0.0201</v>
      </c>
      <c r="F392" s="7" t="n">
        <v>0.4356</v>
      </c>
      <c r="G392" s="8" t="n">
        <f aca="false">MIN(75, MAX(25, F392*100))</f>
        <v>43.56</v>
      </c>
      <c r="H392" s="9" t="n">
        <f aca="false">E392*G392*D392/100</f>
        <v>6278.7645978552</v>
      </c>
      <c r="I392" s="9" t="n">
        <f aca="false">E392*G392*D392/100</f>
        <v>6278.7645978552</v>
      </c>
      <c r="J392" s="9" t="n">
        <f aca="false">IF(B392=1, H392, I392)</f>
        <v>6278.7645978552</v>
      </c>
      <c r="K392" s="5" t="n">
        <v>6278.76</v>
      </c>
      <c r="L392" s="9" t="n">
        <f aca="false">J392-K392</f>
        <v>0.0045978551997905</v>
      </c>
    </row>
    <row r="393" customFormat="false" ht="15" hidden="false" customHeight="false" outlineLevel="0" collapsed="false">
      <c r="A393" s="4" t="s">
        <v>402</v>
      </c>
      <c r="B393" s="4" t="n">
        <v>1</v>
      </c>
      <c r="C393" s="5" t="n">
        <v>11421.74</v>
      </c>
      <c r="D393" s="5" t="n">
        <v>11816.28</v>
      </c>
      <c r="E393" s="6" t="n">
        <v>0.0167</v>
      </c>
      <c r="F393" s="7" t="n">
        <v>0.4012</v>
      </c>
      <c r="G393" s="8" t="n">
        <f aca="false">MIN(75, MAX(25, F393*100))</f>
        <v>40.12</v>
      </c>
      <c r="H393" s="9" t="n">
        <f aca="false">E393*G393*D393/100</f>
        <v>79.1695486512</v>
      </c>
      <c r="I393" s="9" t="n">
        <f aca="false">E393*G393*D393/100</f>
        <v>79.1695486512</v>
      </c>
      <c r="J393" s="9" t="n">
        <f aca="false">IF(B393=1, H393, I393)</f>
        <v>79.1695486512</v>
      </c>
      <c r="K393" s="5" t="n">
        <v>79.17</v>
      </c>
      <c r="L393" s="9" t="n">
        <f aca="false">J393-K393</f>
        <v>-0.000451348800012852</v>
      </c>
    </row>
    <row r="394" customFormat="false" ht="15" hidden="false" customHeight="false" outlineLevel="0" collapsed="false">
      <c r="A394" s="4" t="s">
        <v>403</v>
      </c>
      <c r="B394" s="4" t="n">
        <v>1</v>
      </c>
      <c r="C394" s="5" t="n">
        <v>1434451.15</v>
      </c>
      <c r="D394" s="5" t="n">
        <v>1486358.86</v>
      </c>
      <c r="E394" s="6" t="n">
        <v>0.0167</v>
      </c>
      <c r="F394" s="7" t="n">
        <v>0.496</v>
      </c>
      <c r="G394" s="8" t="n">
        <f aca="false">MIN(75, MAX(25, F394*100))</f>
        <v>49.6</v>
      </c>
      <c r="H394" s="9" t="n">
        <f aca="false">E394*G394*D394/100</f>
        <v>12311.807709152</v>
      </c>
      <c r="I394" s="9" t="n">
        <f aca="false">E394*G394*D394/100</f>
        <v>12311.807709152</v>
      </c>
      <c r="J394" s="9" t="n">
        <f aca="false">IF(B394=1, H394, I394)</f>
        <v>12311.807709152</v>
      </c>
      <c r="K394" s="5" t="n">
        <v>12311.81</v>
      </c>
      <c r="L394" s="9" t="n">
        <f aca="false">J394-K394</f>
        <v>-0.00229084799684642</v>
      </c>
    </row>
    <row r="395" customFormat="false" ht="15" hidden="false" customHeight="false" outlineLevel="0" collapsed="false">
      <c r="A395" s="4" t="s">
        <v>404</v>
      </c>
      <c r="B395" s="4" t="n">
        <v>1</v>
      </c>
      <c r="C395" s="5" t="n">
        <v>315689.54</v>
      </c>
      <c r="D395" s="5" t="n">
        <v>319574.26</v>
      </c>
      <c r="E395" s="6" t="n">
        <v>0.0142</v>
      </c>
      <c r="F395" s="7" t="n">
        <v>0.461</v>
      </c>
      <c r="G395" s="8" t="n">
        <f aca="false">MIN(75, MAX(25, F395*100))</f>
        <v>46.1</v>
      </c>
      <c r="H395" s="9" t="n">
        <f aca="false">E395*G395*D395/100</f>
        <v>2091.997020812</v>
      </c>
      <c r="I395" s="9" t="n">
        <f aca="false">E395*G395*D395/100</f>
        <v>2091.997020812</v>
      </c>
      <c r="J395" s="9" t="n">
        <f aca="false">IF(B395=1, H395, I395)</f>
        <v>2091.997020812</v>
      </c>
      <c r="K395" s="5" t="n">
        <v>2092</v>
      </c>
      <c r="L395" s="9" t="n">
        <f aca="false">J395-K395</f>
        <v>-0.00297918799969921</v>
      </c>
    </row>
    <row r="396" customFormat="false" ht="15" hidden="false" customHeight="false" outlineLevel="0" collapsed="false">
      <c r="A396" s="4" t="s">
        <v>405</v>
      </c>
      <c r="B396" s="4" t="n">
        <v>2</v>
      </c>
      <c r="C396" s="5" t="n">
        <v>1441498.22</v>
      </c>
      <c r="D396" s="5" t="n">
        <v>1455421.78</v>
      </c>
      <c r="E396" s="6" t="n">
        <v>0.0888</v>
      </c>
      <c r="F396" s="7" t="n">
        <v>0.4669</v>
      </c>
      <c r="G396" s="8" t="n">
        <f aca="false">MIN(75, MAX(25, F396*100))</f>
        <v>46.69</v>
      </c>
      <c r="H396" s="9" t="n">
        <f aca="false">E396*G396*D396/100</f>
        <v>60342.8349024816</v>
      </c>
      <c r="I396" s="9" t="n">
        <f aca="false">E396*G396*D396/100</f>
        <v>60342.8349024816</v>
      </c>
      <c r="J396" s="9" t="n">
        <f aca="false">IF(B396=1, H396, I396)</f>
        <v>60342.8349024816</v>
      </c>
      <c r="K396" s="5" t="n">
        <v>60342.83</v>
      </c>
      <c r="L396" s="9" t="n">
        <f aca="false">J396-K396</f>
        <v>0.00490248160349438</v>
      </c>
    </row>
    <row r="397" customFormat="false" ht="15" hidden="false" customHeight="false" outlineLevel="0" collapsed="false">
      <c r="A397" s="4" t="s">
        <v>406</v>
      </c>
      <c r="B397" s="4" t="n">
        <v>1</v>
      </c>
      <c r="C397" s="5" t="n">
        <v>389860.03</v>
      </c>
      <c r="D397" s="5" t="n">
        <v>395672.39</v>
      </c>
      <c r="E397" s="6" t="n">
        <v>0.0224</v>
      </c>
      <c r="F397" s="7" t="n">
        <v>0.6058</v>
      </c>
      <c r="G397" s="8" t="n">
        <f aca="false">MIN(75, MAX(25, F397*100))</f>
        <v>60.58</v>
      </c>
      <c r="H397" s="9" t="n">
        <f aca="false">E397*G397*D397/100</f>
        <v>5369.2426785088</v>
      </c>
      <c r="I397" s="9" t="n">
        <f aca="false">E397*G397*D397/100</f>
        <v>5369.2426785088</v>
      </c>
      <c r="J397" s="9" t="n">
        <f aca="false">IF(B397=1, H397, I397)</f>
        <v>5369.2426785088</v>
      </c>
      <c r="K397" s="5" t="n">
        <v>5369.24</v>
      </c>
      <c r="L397" s="9" t="n">
        <f aca="false">J397-K397</f>
        <v>0.00267850880027254</v>
      </c>
    </row>
    <row r="398" customFormat="false" ht="15" hidden="false" customHeight="false" outlineLevel="0" collapsed="false">
      <c r="A398" s="4" t="s">
        <v>407</v>
      </c>
      <c r="B398" s="4" t="n">
        <v>1</v>
      </c>
      <c r="C398" s="5" t="n">
        <v>475801.87</v>
      </c>
      <c r="D398" s="5" t="n">
        <v>485211.75</v>
      </c>
      <c r="E398" s="6" t="n">
        <v>0.0215</v>
      </c>
      <c r="F398" s="7" t="n">
        <v>0.5439</v>
      </c>
      <c r="G398" s="8" t="n">
        <f aca="false">MIN(75, MAX(25, F398*100))</f>
        <v>54.39</v>
      </c>
      <c r="H398" s="9" t="n">
        <f aca="false">E398*G398*D398/100</f>
        <v>5673.9934227375</v>
      </c>
      <c r="I398" s="9" t="n">
        <f aca="false">E398*G398*D398/100</f>
        <v>5673.9934227375</v>
      </c>
      <c r="J398" s="9" t="n">
        <f aca="false">IF(B398=1, H398, I398)</f>
        <v>5673.9934227375</v>
      </c>
      <c r="K398" s="5" t="n">
        <v>5673.99</v>
      </c>
      <c r="L398" s="9" t="n">
        <f aca="false">J398-K398</f>
        <v>0.00342273750175082</v>
      </c>
    </row>
    <row r="399" customFormat="false" ht="15" hidden="false" customHeight="false" outlineLevel="0" collapsed="false">
      <c r="A399" s="4" t="s">
        <v>408</v>
      </c>
      <c r="B399" s="4" t="n">
        <v>1</v>
      </c>
      <c r="C399" s="5" t="n">
        <v>1000453.89</v>
      </c>
      <c r="D399" s="5" t="n">
        <v>1010821.32</v>
      </c>
      <c r="E399" s="6" t="n">
        <v>0.0206</v>
      </c>
      <c r="F399" s="7" t="n">
        <v>0.3768</v>
      </c>
      <c r="G399" s="8" t="n">
        <f aca="false">MIN(75, MAX(25, F399*100))</f>
        <v>37.68</v>
      </c>
      <c r="H399" s="9" t="n">
        <f aca="false">E399*G399*D399/100</f>
        <v>7846.0759515456</v>
      </c>
      <c r="I399" s="9" t="n">
        <f aca="false">E399*G399*D399/100</f>
        <v>7846.0759515456</v>
      </c>
      <c r="J399" s="9" t="n">
        <f aca="false">IF(B399=1, H399, I399)</f>
        <v>7846.0759515456</v>
      </c>
      <c r="K399" s="5" t="n">
        <v>7846.08</v>
      </c>
      <c r="L399" s="9" t="n">
        <f aca="false">J399-K399</f>
        <v>-0.00404845440061763</v>
      </c>
    </row>
    <row r="400" customFormat="false" ht="15" hidden="false" customHeight="false" outlineLevel="0" collapsed="false">
      <c r="A400" s="4" t="s">
        <v>409</v>
      </c>
      <c r="B400" s="4" t="n">
        <v>1</v>
      </c>
      <c r="C400" s="5" t="n">
        <v>320213.96</v>
      </c>
      <c r="D400" s="5" t="n">
        <v>326573.11</v>
      </c>
      <c r="E400" s="6" t="n">
        <v>0.0201</v>
      </c>
      <c r="F400" s="7" t="n">
        <v>0.5987</v>
      </c>
      <c r="G400" s="8" t="n">
        <f aca="false">MIN(75, MAX(25, F400*100))</f>
        <v>59.87</v>
      </c>
      <c r="H400" s="9" t="n">
        <f aca="false">E400*G400*D400/100</f>
        <v>3929.9383512357</v>
      </c>
      <c r="I400" s="9" t="n">
        <f aca="false">E400*G400*D400/100</f>
        <v>3929.9383512357</v>
      </c>
      <c r="J400" s="9" t="n">
        <f aca="false">IF(B400=1, H400, I400)</f>
        <v>3929.9383512357</v>
      </c>
      <c r="K400" s="5" t="n">
        <v>3929.94</v>
      </c>
      <c r="L400" s="9" t="n">
        <f aca="false">J400-K400</f>
        <v>-0.00164876430017102</v>
      </c>
    </row>
    <row r="401" customFormat="false" ht="15" hidden="false" customHeight="false" outlineLevel="0" collapsed="false">
      <c r="A401" s="4" t="s">
        <v>410</v>
      </c>
      <c r="B401" s="4" t="n">
        <v>1</v>
      </c>
      <c r="C401" s="5" t="n">
        <v>625619.44</v>
      </c>
      <c r="D401" s="5" t="n">
        <v>653354.78</v>
      </c>
      <c r="E401" s="6" t="n">
        <v>0.024</v>
      </c>
      <c r="F401" s="7" t="n">
        <v>0.5523</v>
      </c>
      <c r="G401" s="8" t="n">
        <f aca="false">MIN(75, MAX(25, F401*100))</f>
        <v>55.23</v>
      </c>
      <c r="H401" s="9" t="n">
        <f aca="false">E401*G401*D401/100</f>
        <v>8660.348279856</v>
      </c>
      <c r="I401" s="9" t="n">
        <f aca="false">E401*G401*D401/100</f>
        <v>8660.348279856</v>
      </c>
      <c r="J401" s="9" t="n">
        <f aca="false">IF(B401=1, H401, I401)</f>
        <v>8660.348279856</v>
      </c>
      <c r="K401" s="5" t="n">
        <v>8660.35</v>
      </c>
      <c r="L401" s="9" t="n">
        <f aca="false">J401-K401</f>
        <v>-0.00172014399868203</v>
      </c>
    </row>
    <row r="402" customFormat="false" ht="15" hidden="false" customHeight="false" outlineLevel="0" collapsed="false">
      <c r="A402" s="4" t="s">
        <v>411</v>
      </c>
      <c r="B402" s="4" t="n">
        <v>1</v>
      </c>
      <c r="C402" s="5" t="n">
        <v>458805.04</v>
      </c>
      <c r="D402" s="5" t="n">
        <v>480855.4</v>
      </c>
      <c r="E402" s="6" t="n">
        <v>0.0193</v>
      </c>
      <c r="F402" s="7" t="n">
        <v>0.5686</v>
      </c>
      <c r="G402" s="8" t="n">
        <f aca="false">MIN(75, MAX(25, F402*100))</f>
        <v>56.86</v>
      </c>
      <c r="H402" s="9" t="n">
        <f aca="false">E402*G402*D402/100</f>
        <v>5276.897542492</v>
      </c>
      <c r="I402" s="9" t="n">
        <f aca="false">E402*G402*D402/100</f>
        <v>5276.897542492</v>
      </c>
      <c r="J402" s="9" t="n">
        <f aca="false">IF(B402=1, H402, I402)</f>
        <v>5276.897542492</v>
      </c>
      <c r="K402" s="5" t="n">
        <v>5276.9</v>
      </c>
      <c r="L402" s="9" t="n">
        <f aca="false">J402-K402</f>
        <v>-0.00245750799876987</v>
      </c>
    </row>
    <row r="403" customFormat="false" ht="15" hidden="false" customHeight="false" outlineLevel="0" collapsed="false">
      <c r="A403" s="4" t="s">
        <v>412</v>
      </c>
      <c r="B403" s="4" t="n">
        <v>1</v>
      </c>
      <c r="C403" s="5" t="n">
        <v>154146.55</v>
      </c>
      <c r="D403" s="5" t="n">
        <v>159783.95</v>
      </c>
      <c r="E403" s="6" t="n">
        <v>0.0224</v>
      </c>
      <c r="F403" s="7" t="n">
        <v>0.4939</v>
      </c>
      <c r="G403" s="8" t="n">
        <f aca="false">MIN(75, MAX(25, F403*100))</f>
        <v>49.39</v>
      </c>
      <c r="H403" s="9" t="n">
        <f aca="false">E403*G403*D403/100</f>
        <v>1767.747361072</v>
      </c>
      <c r="I403" s="9" t="n">
        <f aca="false">E403*G403*D403/100</f>
        <v>1767.747361072</v>
      </c>
      <c r="J403" s="9" t="n">
        <f aca="false">IF(B403=1, H403, I403)</f>
        <v>1767.747361072</v>
      </c>
      <c r="K403" s="5" t="n">
        <v>1767.75</v>
      </c>
      <c r="L403" s="9" t="n">
        <f aca="false">J403-K403</f>
        <v>-0.00263892799989662</v>
      </c>
    </row>
    <row r="404" customFormat="false" ht="15" hidden="false" customHeight="false" outlineLevel="0" collapsed="false">
      <c r="A404" s="4" t="s">
        <v>413</v>
      </c>
      <c r="B404" s="4" t="n">
        <v>3</v>
      </c>
      <c r="C404" s="5" t="n">
        <v>1081660.94</v>
      </c>
      <c r="D404" s="5" t="n">
        <v>1130434.16</v>
      </c>
      <c r="E404" s="6" t="n">
        <v>0.8727</v>
      </c>
      <c r="F404" s="7" t="n">
        <v>0.462</v>
      </c>
      <c r="G404" s="8" t="n">
        <f aca="false">MIN(75, MAX(25, F404*100))</f>
        <v>46.2</v>
      </c>
      <c r="H404" s="9" t="n">
        <f aca="false">E404*G404*D404/100</f>
        <v>455776.809841584</v>
      </c>
      <c r="I404" s="9" t="n">
        <f aca="false">E404*G404*D404/100</f>
        <v>455776.809841584</v>
      </c>
      <c r="J404" s="9" t="n">
        <f aca="false">IF(B404=1, H404, I404)</f>
        <v>455776.809841584</v>
      </c>
      <c r="K404" s="5" t="n">
        <v>455776.81</v>
      </c>
      <c r="L404" s="9" t="n">
        <f aca="false">J404-K404</f>
        <v>-0.000158415932673961</v>
      </c>
    </row>
    <row r="405" customFormat="false" ht="15" hidden="false" customHeight="false" outlineLevel="0" collapsed="false">
      <c r="A405" s="4" t="s">
        <v>414</v>
      </c>
      <c r="B405" s="4" t="n">
        <v>2</v>
      </c>
      <c r="C405" s="5" t="n">
        <v>1649021.92</v>
      </c>
      <c r="D405" s="5" t="n">
        <v>1658246.55</v>
      </c>
      <c r="E405" s="6" t="n">
        <v>0.0899</v>
      </c>
      <c r="F405" s="7" t="n">
        <v>0.4757</v>
      </c>
      <c r="G405" s="8" t="n">
        <f aca="false">MIN(75, MAX(25, F405*100))</f>
        <v>47.57</v>
      </c>
      <c r="H405" s="9" t="n">
        <f aca="false">E405*G405*D405/100</f>
        <v>70915.6267567665</v>
      </c>
      <c r="I405" s="9" t="n">
        <f aca="false">E405*G405*D405/100</f>
        <v>70915.6267567665</v>
      </c>
      <c r="J405" s="9" t="n">
        <f aca="false">IF(B405=1, H405, I405)</f>
        <v>70915.6267567665</v>
      </c>
      <c r="K405" s="5" t="n">
        <v>70915.63</v>
      </c>
      <c r="L405" s="9" t="n">
        <f aca="false">J405-K405</f>
        <v>-0.00324323351378553</v>
      </c>
    </row>
    <row r="406" customFormat="false" ht="15" hidden="false" customHeight="false" outlineLevel="0" collapsed="false">
      <c r="A406" s="4" t="s">
        <v>415</v>
      </c>
      <c r="B406" s="4" t="n">
        <v>1</v>
      </c>
      <c r="C406" s="5" t="n">
        <v>1428279.26</v>
      </c>
      <c r="D406" s="5" t="n">
        <v>1496130.42</v>
      </c>
      <c r="E406" s="6" t="n">
        <v>0.0157</v>
      </c>
      <c r="F406" s="7" t="n">
        <v>0.3717</v>
      </c>
      <c r="G406" s="8" t="n">
        <f aca="false">MIN(75, MAX(25, F406*100))</f>
        <v>37.17</v>
      </c>
      <c r="H406" s="9" t="n">
        <f aca="false">E406*G406*D406/100</f>
        <v>8730.9533306898</v>
      </c>
      <c r="I406" s="9" t="n">
        <f aca="false">E406*G406*D406/100</f>
        <v>8730.9533306898</v>
      </c>
      <c r="J406" s="9" t="n">
        <f aca="false">IF(B406=1, H406, I406)</f>
        <v>8730.9533306898</v>
      </c>
      <c r="K406" s="5" t="n">
        <v>8730.95</v>
      </c>
      <c r="L406" s="9" t="n">
        <f aca="false">J406-K406</f>
        <v>0.00333068979671225</v>
      </c>
    </row>
    <row r="407" customFormat="false" ht="15" hidden="false" customHeight="false" outlineLevel="0" collapsed="false">
      <c r="A407" s="4" t="s">
        <v>416</v>
      </c>
      <c r="B407" s="4" t="n">
        <v>1</v>
      </c>
      <c r="C407" s="5" t="n">
        <v>205425.1</v>
      </c>
      <c r="D407" s="5" t="n">
        <v>212621.46</v>
      </c>
      <c r="E407" s="6" t="n">
        <v>0.0178</v>
      </c>
      <c r="F407" s="7" t="n">
        <v>0.3593</v>
      </c>
      <c r="G407" s="8" t="n">
        <f aca="false">MIN(75, MAX(25, F407*100))</f>
        <v>35.93</v>
      </c>
      <c r="H407" s="9" t="n">
        <f aca="false">E407*G407*D407/100</f>
        <v>1359.8290522884</v>
      </c>
      <c r="I407" s="9" t="n">
        <f aca="false">E407*G407*D407/100</f>
        <v>1359.8290522884</v>
      </c>
      <c r="J407" s="9" t="n">
        <f aca="false">IF(B407=1, H407, I407)</f>
        <v>1359.8290522884</v>
      </c>
      <c r="K407" s="5" t="n">
        <v>1359.83</v>
      </c>
      <c r="L407" s="9" t="n">
        <f aca="false">J407-K407</f>
        <v>-0.000947711600019829</v>
      </c>
    </row>
    <row r="408" customFormat="false" ht="15" hidden="false" customHeight="false" outlineLevel="0" collapsed="false">
      <c r="A408" s="4" t="s">
        <v>417</v>
      </c>
      <c r="B408" s="4" t="n">
        <v>1</v>
      </c>
      <c r="C408" s="5" t="n">
        <v>607782.1</v>
      </c>
      <c r="D408" s="5" t="n">
        <v>608640.16</v>
      </c>
      <c r="E408" s="6" t="n">
        <v>0.0211</v>
      </c>
      <c r="F408" s="7" t="n">
        <v>0.5526</v>
      </c>
      <c r="G408" s="8" t="n">
        <f aca="false">MIN(75, MAX(25, F408*100))</f>
        <v>55.26</v>
      </c>
      <c r="H408" s="9" t="n">
        <f aca="false">E408*G408*D408/100</f>
        <v>7096.6590559776</v>
      </c>
      <c r="I408" s="9" t="n">
        <f aca="false">E408*G408*D408/100</f>
        <v>7096.6590559776</v>
      </c>
      <c r="J408" s="9" t="n">
        <f aca="false">IF(B408=1, H408, I408)</f>
        <v>7096.6590559776</v>
      </c>
      <c r="K408" s="5" t="n">
        <v>7096.66</v>
      </c>
      <c r="L408" s="9" t="n">
        <f aca="false">J408-K408</f>
        <v>-0.000944022400290123</v>
      </c>
    </row>
    <row r="409" customFormat="false" ht="15" hidden="false" customHeight="false" outlineLevel="0" collapsed="false">
      <c r="A409" s="4" t="s">
        <v>418</v>
      </c>
      <c r="B409" s="4" t="n">
        <v>1</v>
      </c>
      <c r="C409" s="5" t="n">
        <v>874498.99</v>
      </c>
      <c r="D409" s="5" t="n">
        <v>900015.55</v>
      </c>
      <c r="E409" s="6" t="n">
        <v>0.0167</v>
      </c>
      <c r="F409" s="7" t="n">
        <v>0.6097</v>
      </c>
      <c r="G409" s="8" t="n">
        <f aca="false">MIN(75, MAX(25, F409*100))</f>
        <v>60.97</v>
      </c>
      <c r="H409" s="9" t="n">
        <f aca="false">E409*G409*D409/100</f>
        <v>9163.9493299445</v>
      </c>
      <c r="I409" s="9" t="n">
        <f aca="false">E409*G409*D409/100</f>
        <v>9163.9493299445</v>
      </c>
      <c r="J409" s="9" t="n">
        <f aca="false">IF(B409=1, H409, I409)</f>
        <v>9163.9493299445</v>
      </c>
      <c r="K409" s="5" t="n">
        <v>9163.95</v>
      </c>
      <c r="L409" s="9" t="n">
        <f aca="false">J409-K409</f>
        <v>-0.000670055502268951</v>
      </c>
    </row>
    <row r="410" customFormat="false" ht="15" hidden="false" customHeight="false" outlineLevel="0" collapsed="false">
      <c r="A410" s="4" t="s">
        <v>419</v>
      </c>
      <c r="B410" s="4" t="n">
        <v>1</v>
      </c>
      <c r="C410" s="5" t="n">
        <v>383329.3</v>
      </c>
      <c r="D410" s="5" t="n">
        <v>394262.25</v>
      </c>
      <c r="E410" s="6" t="n">
        <v>0.0155</v>
      </c>
      <c r="F410" s="7" t="n">
        <v>0.3986</v>
      </c>
      <c r="G410" s="8" t="n">
        <f aca="false">MIN(75, MAX(25, F410*100))</f>
        <v>39.86</v>
      </c>
      <c r="H410" s="9" t="n">
        <f aca="false">E410*G410*D410/100</f>
        <v>2435.870459175</v>
      </c>
      <c r="I410" s="9" t="n">
        <f aca="false">E410*G410*D410/100</f>
        <v>2435.870459175</v>
      </c>
      <c r="J410" s="9" t="n">
        <f aca="false">IF(B410=1, H410, I410)</f>
        <v>2435.870459175</v>
      </c>
      <c r="K410" s="5" t="n">
        <v>2435.87</v>
      </c>
      <c r="L410" s="9" t="n">
        <f aca="false">J410-K410</f>
        <v>0.000459174999832612</v>
      </c>
    </row>
    <row r="411" customFormat="false" ht="15" hidden="false" customHeight="false" outlineLevel="0" collapsed="false">
      <c r="A411" s="4" t="s">
        <v>420</v>
      </c>
      <c r="B411" s="4" t="n">
        <v>1</v>
      </c>
      <c r="C411" s="5" t="n">
        <v>493344.08</v>
      </c>
      <c r="D411" s="5" t="n">
        <v>497597.15</v>
      </c>
      <c r="E411" s="6" t="n">
        <v>0.0197</v>
      </c>
      <c r="F411" s="7" t="n">
        <v>0.4142</v>
      </c>
      <c r="G411" s="8" t="n">
        <f aca="false">MIN(75, MAX(25, F411*100))</f>
        <v>41.42</v>
      </c>
      <c r="H411" s="9" t="n">
        <f aca="false">E411*G411*D411/100</f>
        <v>4060.263368741</v>
      </c>
      <c r="I411" s="9" t="n">
        <f aca="false">E411*G411*D411/100</f>
        <v>4060.263368741</v>
      </c>
      <c r="J411" s="9" t="n">
        <f aca="false">IF(B411=1, H411, I411)</f>
        <v>4060.263368741</v>
      </c>
      <c r="K411" s="5" t="n">
        <v>4060.26</v>
      </c>
      <c r="L411" s="9" t="n">
        <f aca="false">J411-K411</f>
        <v>0.00336874100003115</v>
      </c>
    </row>
    <row r="412" customFormat="false" ht="15" hidden="false" customHeight="false" outlineLevel="0" collapsed="false">
      <c r="A412" s="4" t="s">
        <v>421</v>
      </c>
      <c r="B412" s="4" t="n">
        <v>1</v>
      </c>
      <c r="C412" s="5" t="n">
        <v>272202.2</v>
      </c>
      <c r="D412" s="5" t="n">
        <v>279137.19</v>
      </c>
      <c r="E412" s="6" t="n">
        <v>0.0198</v>
      </c>
      <c r="F412" s="7" t="n">
        <v>0.6348</v>
      </c>
      <c r="G412" s="8" t="n">
        <f aca="false">MIN(75, MAX(25, F412*100))</f>
        <v>63.48</v>
      </c>
      <c r="H412" s="9" t="n">
        <f aca="false">E412*G412*D412/100</f>
        <v>3508.4865065976</v>
      </c>
      <c r="I412" s="9" t="n">
        <f aca="false">E412*G412*D412/100</f>
        <v>3508.4865065976</v>
      </c>
      <c r="J412" s="9" t="n">
        <f aca="false">IF(B412=1, H412, I412)</f>
        <v>3508.4865065976</v>
      </c>
      <c r="K412" s="5" t="n">
        <v>3508.49</v>
      </c>
      <c r="L412" s="9" t="n">
        <f aca="false">J412-K412</f>
        <v>-0.00349340239927187</v>
      </c>
    </row>
    <row r="413" customFormat="false" ht="15" hidden="false" customHeight="false" outlineLevel="0" collapsed="false">
      <c r="A413" s="4" t="s">
        <v>422</v>
      </c>
      <c r="B413" s="4" t="n">
        <v>2</v>
      </c>
      <c r="C413" s="5" t="n">
        <v>233202.41</v>
      </c>
      <c r="D413" s="5" t="n">
        <v>233936.23</v>
      </c>
      <c r="E413" s="6" t="n">
        <v>0.1224</v>
      </c>
      <c r="F413" s="7" t="n">
        <v>0.5349</v>
      </c>
      <c r="G413" s="8" t="n">
        <f aca="false">MIN(75, MAX(25, F413*100))</f>
        <v>53.49</v>
      </c>
      <c r="H413" s="9" t="n">
        <f aca="false">E413*G413*D413/100</f>
        <v>15316.2167058648</v>
      </c>
      <c r="I413" s="9" t="n">
        <f aca="false">E413*G413*D413/100</f>
        <v>15316.2167058648</v>
      </c>
      <c r="J413" s="9" t="n">
        <f aca="false">IF(B413=1, H413, I413)</f>
        <v>15316.2167058648</v>
      </c>
      <c r="K413" s="5" t="n">
        <v>15316.22</v>
      </c>
      <c r="L413" s="9" t="n">
        <f aca="false">J413-K413</f>
        <v>-0.00329413519830268</v>
      </c>
    </row>
    <row r="414" customFormat="false" ht="15" hidden="false" customHeight="false" outlineLevel="0" collapsed="false">
      <c r="A414" s="4" t="s">
        <v>423</v>
      </c>
      <c r="B414" s="4" t="n">
        <v>1</v>
      </c>
      <c r="C414" s="5" t="n">
        <v>623686.3</v>
      </c>
      <c r="D414" s="5" t="n">
        <v>648320.19</v>
      </c>
      <c r="E414" s="6" t="n">
        <v>0.0217</v>
      </c>
      <c r="F414" s="7" t="n">
        <v>0.4117</v>
      </c>
      <c r="G414" s="8" t="n">
        <f aca="false">MIN(75, MAX(25, F414*100))</f>
        <v>41.17</v>
      </c>
      <c r="H414" s="9" t="n">
        <f aca="false">E414*G414*D414/100</f>
        <v>5792.0212622391</v>
      </c>
      <c r="I414" s="9" t="n">
        <f aca="false">E414*G414*D414/100</f>
        <v>5792.0212622391</v>
      </c>
      <c r="J414" s="9" t="n">
        <f aca="false">IF(B414=1, H414, I414)</f>
        <v>5792.0212622391</v>
      </c>
      <c r="K414" s="5" t="n">
        <v>5792.02</v>
      </c>
      <c r="L414" s="9" t="n">
        <f aca="false">J414-K414</f>
        <v>0.00126223909956025</v>
      </c>
    </row>
    <row r="415" customFormat="false" ht="15" hidden="false" customHeight="false" outlineLevel="0" collapsed="false">
      <c r="A415" s="4" t="s">
        <v>424</v>
      </c>
      <c r="B415" s="4" t="n">
        <v>1</v>
      </c>
      <c r="C415" s="5" t="n">
        <v>727143.28</v>
      </c>
      <c r="D415" s="5" t="n">
        <v>731612.18</v>
      </c>
      <c r="E415" s="6" t="n">
        <v>0.0178</v>
      </c>
      <c r="F415" s="7" t="n">
        <v>0.3919</v>
      </c>
      <c r="G415" s="8" t="n">
        <f aca="false">MIN(75, MAX(25, F415*100))</f>
        <v>39.19</v>
      </c>
      <c r="H415" s="9" t="n">
        <f aca="false">E415*G415*D415/100</f>
        <v>5103.5948774876</v>
      </c>
      <c r="I415" s="9" t="n">
        <f aca="false">E415*G415*D415/100</f>
        <v>5103.5948774876</v>
      </c>
      <c r="J415" s="9" t="n">
        <f aca="false">IF(B415=1, H415, I415)</f>
        <v>5103.5948774876</v>
      </c>
      <c r="K415" s="5" t="n">
        <v>5103.59</v>
      </c>
      <c r="L415" s="9" t="n">
        <f aca="false">J415-K415</f>
        <v>0.0048774876004245</v>
      </c>
    </row>
    <row r="416" customFormat="false" ht="15" hidden="false" customHeight="false" outlineLevel="0" collapsed="false">
      <c r="A416" s="4" t="s">
        <v>425</v>
      </c>
      <c r="B416" s="4" t="n">
        <v>2</v>
      </c>
      <c r="C416" s="5" t="n">
        <v>617506.28</v>
      </c>
      <c r="D416" s="5" t="n">
        <v>640368.09</v>
      </c>
      <c r="E416" s="6" t="n">
        <v>0.1527</v>
      </c>
      <c r="F416" s="7" t="n">
        <v>0.3774</v>
      </c>
      <c r="G416" s="8" t="n">
        <f aca="false">MIN(75, MAX(25, F416*100))</f>
        <v>37.74</v>
      </c>
      <c r="H416" s="9" t="n">
        <f aca="false">E416*G416*D416/100</f>
        <v>36903.7598512482</v>
      </c>
      <c r="I416" s="9" t="n">
        <f aca="false">E416*G416*D416/100</f>
        <v>36903.7598512482</v>
      </c>
      <c r="J416" s="9" t="n">
        <f aca="false">IF(B416=1, H416, I416)</f>
        <v>36903.7598512482</v>
      </c>
      <c r="K416" s="5" t="n">
        <v>36903.76</v>
      </c>
      <c r="L416" s="9" t="n">
        <f aca="false">J416-K416</f>
        <v>-0.000148751794768032</v>
      </c>
    </row>
    <row r="417" customFormat="false" ht="15" hidden="false" customHeight="false" outlineLevel="0" collapsed="false">
      <c r="A417" s="4" t="s">
        <v>426</v>
      </c>
      <c r="B417" s="4" t="n">
        <v>1</v>
      </c>
      <c r="C417" s="5" t="n">
        <v>172879.03</v>
      </c>
      <c r="D417" s="5" t="n">
        <v>176653.41</v>
      </c>
      <c r="E417" s="6" t="n">
        <v>0.0165</v>
      </c>
      <c r="F417" s="7" t="n">
        <v>0.552</v>
      </c>
      <c r="G417" s="8" t="n">
        <f aca="false">MIN(75, MAX(25, F417*100))</f>
        <v>55.2</v>
      </c>
      <c r="H417" s="9" t="n">
        <f aca="false">E417*G417*D417/100</f>
        <v>1608.95925828</v>
      </c>
      <c r="I417" s="9" t="n">
        <f aca="false">E417*G417*D417/100</f>
        <v>1608.95925828</v>
      </c>
      <c r="J417" s="9" t="n">
        <f aca="false">IF(B417=1, H417, I417)</f>
        <v>1608.95925828</v>
      </c>
      <c r="K417" s="5" t="n">
        <v>1608.96</v>
      </c>
      <c r="L417" s="9" t="n">
        <f aca="false">J417-K417</f>
        <v>-0.000741719999950874</v>
      </c>
    </row>
    <row r="418" customFormat="false" ht="15" hidden="false" customHeight="false" outlineLevel="0" collapsed="false">
      <c r="A418" s="4" t="s">
        <v>427</v>
      </c>
      <c r="B418" s="4" t="n">
        <v>1</v>
      </c>
      <c r="C418" s="5" t="n">
        <v>643021.94</v>
      </c>
      <c r="D418" s="5" t="n">
        <v>672253.33</v>
      </c>
      <c r="E418" s="6" t="n">
        <v>0.0199</v>
      </c>
      <c r="F418" s="7" t="n">
        <v>0.5673</v>
      </c>
      <c r="G418" s="8" t="n">
        <f aca="false">MIN(75, MAX(25, F418*100))</f>
        <v>56.73</v>
      </c>
      <c r="H418" s="9" t="n">
        <f aca="false">E418*G418*D418/100</f>
        <v>7589.2493507691</v>
      </c>
      <c r="I418" s="9" t="n">
        <f aca="false">E418*G418*D418/100</f>
        <v>7589.2493507691</v>
      </c>
      <c r="J418" s="9" t="n">
        <f aca="false">IF(B418=1, H418, I418)</f>
        <v>7589.2493507691</v>
      </c>
      <c r="K418" s="5" t="n">
        <v>7589.25</v>
      </c>
      <c r="L418" s="9" t="n">
        <f aca="false">J418-K418</f>
        <v>-0.00064923089939839</v>
      </c>
    </row>
    <row r="419" customFormat="false" ht="15" hidden="false" customHeight="false" outlineLevel="0" collapsed="false">
      <c r="A419" s="4" t="s">
        <v>428</v>
      </c>
      <c r="B419" s="4" t="n">
        <v>1</v>
      </c>
      <c r="C419" s="5" t="n">
        <v>45527.9</v>
      </c>
      <c r="D419" s="5" t="n">
        <v>45679.92</v>
      </c>
      <c r="E419" s="6" t="n">
        <v>0.0189</v>
      </c>
      <c r="F419" s="7" t="n">
        <v>0.4</v>
      </c>
      <c r="G419" s="8" t="n">
        <f aca="false">MIN(75, MAX(25, F419*100))</f>
        <v>40</v>
      </c>
      <c r="H419" s="9" t="n">
        <f aca="false">E419*G419*D419/100</f>
        <v>345.3401952</v>
      </c>
      <c r="I419" s="9" t="n">
        <f aca="false">E419*G419*D419/100</f>
        <v>345.3401952</v>
      </c>
      <c r="J419" s="9" t="n">
        <f aca="false">IF(B419=1, H419, I419)</f>
        <v>345.3401952</v>
      </c>
      <c r="K419" s="5" t="n">
        <v>345.34</v>
      </c>
      <c r="L419" s="9" t="n">
        <f aca="false">J419-K419</f>
        <v>0.000195200000064233</v>
      </c>
    </row>
    <row r="420" customFormat="false" ht="15" hidden="false" customHeight="false" outlineLevel="0" collapsed="false">
      <c r="A420" s="4" t="s">
        <v>429</v>
      </c>
      <c r="B420" s="4" t="n">
        <v>2</v>
      </c>
      <c r="C420" s="5" t="n">
        <v>562904.82</v>
      </c>
      <c r="D420" s="5" t="n">
        <v>586730.81</v>
      </c>
      <c r="E420" s="6" t="n">
        <v>0.096</v>
      </c>
      <c r="F420" s="7" t="n">
        <v>0.4907</v>
      </c>
      <c r="G420" s="8" t="n">
        <f aca="false">MIN(75, MAX(25, F420*100))</f>
        <v>49.07</v>
      </c>
      <c r="H420" s="9" t="n">
        <f aca="false">E420*G420*D420/100</f>
        <v>27639.245612832</v>
      </c>
      <c r="I420" s="9" t="n">
        <f aca="false">E420*G420*D420/100</f>
        <v>27639.245612832</v>
      </c>
      <c r="J420" s="9" t="n">
        <f aca="false">IF(B420=1, H420, I420)</f>
        <v>27639.245612832</v>
      </c>
      <c r="K420" s="5" t="n">
        <v>27639.25</v>
      </c>
      <c r="L420" s="9" t="n">
        <f aca="false">J420-K420</f>
        <v>-0.00438716799544636</v>
      </c>
    </row>
    <row r="421" customFormat="false" ht="15" hidden="false" customHeight="false" outlineLevel="0" collapsed="false">
      <c r="A421" s="4" t="s">
        <v>430</v>
      </c>
      <c r="B421" s="4" t="n">
        <v>3</v>
      </c>
      <c r="C421" s="5" t="n">
        <v>451529.27</v>
      </c>
      <c r="D421" s="5" t="n">
        <v>459826.15</v>
      </c>
      <c r="E421" s="6" t="n">
        <v>0.7005</v>
      </c>
      <c r="F421" s="7" t="n">
        <v>0.5299</v>
      </c>
      <c r="G421" s="8" t="n">
        <f aca="false">MIN(75, MAX(25, F421*100))</f>
        <v>52.99</v>
      </c>
      <c r="H421" s="9" t="n">
        <f aca="false">E421*G421*D421/100</f>
        <v>170685.144757943</v>
      </c>
      <c r="I421" s="9" t="n">
        <f aca="false">E421*G421*D421/100</f>
        <v>170685.144757943</v>
      </c>
      <c r="J421" s="9" t="n">
        <f aca="false">IF(B421=1, H421, I421)</f>
        <v>170685.144757943</v>
      </c>
      <c r="K421" s="5" t="n">
        <v>170685.14</v>
      </c>
      <c r="L421" s="9" t="n">
        <f aca="false">J421-K421</f>
        <v>0.00475794251542538</v>
      </c>
    </row>
    <row r="422" customFormat="false" ht="15" hidden="false" customHeight="false" outlineLevel="0" collapsed="false">
      <c r="A422" s="4" t="s">
        <v>431</v>
      </c>
      <c r="B422" s="4" t="n">
        <v>1</v>
      </c>
      <c r="C422" s="5" t="n">
        <v>492502.83</v>
      </c>
      <c r="D422" s="5" t="n">
        <v>515225.6</v>
      </c>
      <c r="E422" s="6" t="n">
        <v>0.0254</v>
      </c>
      <c r="F422" s="7" t="n">
        <v>0.6191</v>
      </c>
      <c r="G422" s="8" t="n">
        <f aca="false">MIN(75, MAX(25, F422*100))</f>
        <v>61.91</v>
      </c>
      <c r="H422" s="9" t="n">
        <f aca="false">E422*G422*D422/100</f>
        <v>8101.994691584</v>
      </c>
      <c r="I422" s="9" t="n">
        <f aca="false">E422*G422*D422/100</f>
        <v>8101.994691584</v>
      </c>
      <c r="J422" s="9" t="n">
        <f aca="false">IF(B422=1, H422, I422)</f>
        <v>8101.994691584</v>
      </c>
      <c r="K422" s="5" t="n">
        <v>8101.99</v>
      </c>
      <c r="L422" s="9" t="n">
        <f aca="false">J422-K422</f>
        <v>0.00469158399846492</v>
      </c>
    </row>
    <row r="423" customFormat="false" ht="15" hidden="false" customHeight="false" outlineLevel="0" collapsed="false">
      <c r="A423" s="4" t="s">
        <v>432</v>
      </c>
      <c r="B423" s="4" t="n">
        <v>1</v>
      </c>
      <c r="C423" s="5" t="n">
        <v>85761.46</v>
      </c>
      <c r="D423" s="5" t="n">
        <v>87619.95</v>
      </c>
      <c r="E423" s="6" t="n">
        <v>0.0246</v>
      </c>
      <c r="F423" s="7" t="n">
        <v>0.5775</v>
      </c>
      <c r="G423" s="8" t="n">
        <f aca="false">MIN(75, MAX(25, F423*100))</f>
        <v>57.75</v>
      </c>
      <c r="H423" s="9" t="n">
        <f aca="false">E423*G423*D423/100</f>
        <v>1244.772819675</v>
      </c>
      <c r="I423" s="9" t="n">
        <f aca="false">E423*G423*D423/100</f>
        <v>1244.772819675</v>
      </c>
      <c r="J423" s="9" t="n">
        <f aca="false">IF(B423=1, H423, I423)</f>
        <v>1244.772819675</v>
      </c>
      <c r="K423" s="5" t="n">
        <v>1244.77</v>
      </c>
      <c r="L423" s="9" t="n">
        <f aca="false">J423-K423</f>
        <v>0.00281967499995517</v>
      </c>
    </row>
    <row r="424" customFormat="false" ht="15" hidden="false" customHeight="false" outlineLevel="0" collapsed="false">
      <c r="A424" s="4" t="s">
        <v>433</v>
      </c>
      <c r="B424" s="4" t="n">
        <v>1</v>
      </c>
      <c r="C424" s="5" t="n">
        <v>641035.15</v>
      </c>
      <c r="D424" s="5" t="n">
        <v>668562.5</v>
      </c>
      <c r="E424" s="6" t="n">
        <v>0.014</v>
      </c>
      <c r="F424" s="7" t="n">
        <v>0.3699</v>
      </c>
      <c r="G424" s="8" t="n">
        <f aca="false">MIN(75, MAX(25, F424*100))</f>
        <v>36.99</v>
      </c>
      <c r="H424" s="9" t="n">
        <f aca="false">E424*G424*D424/100</f>
        <v>3462.2177625</v>
      </c>
      <c r="I424" s="9" t="n">
        <f aca="false">E424*G424*D424/100</f>
        <v>3462.2177625</v>
      </c>
      <c r="J424" s="9" t="n">
        <f aca="false">IF(B424=1, H424, I424)</f>
        <v>3462.2177625</v>
      </c>
      <c r="K424" s="5" t="n">
        <v>3462.22</v>
      </c>
      <c r="L424" s="9" t="n">
        <f aca="false">J424-K424</f>
        <v>-0.00223749999986467</v>
      </c>
    </row>
    <row r="425" customFormat="false" ht="15" hidden="false" customHeight="false" outlineLevel="0" collapsed="false">
      <c r="A425" s="4" t="s">
        <v>434</v>
      </c>
      <c r="B425" s="4" t="n">
        <v>1</v>
      </c>
      <c r="C425" s="5" t="n">
        <v>1817973.22</v>
      </c>
      <c r="D425" s="5" t="n">
        <v>1854760.73</v>
      </c>
      <c r="E425" s="6" t="n">
        <v>0.02</v>
      </c>
      <c r="F425" s="7" t="n">
        <v>0.5673</v>
      </c>
      <c r="G425" s="8" t="n">
        <f aca="false">MIN(75, MAX(25, F425*100))</f>
        <v>56.73</v>
      </c>
      <c r="H425" s="9" t="n">
        <f aca="false">E425*G425*D425/100</f>
        <v>21044.11524258</v>
      </c>
      <c r="I425" s="9" t="n">
        <f aca="false">E425*G425*D425/100</f>
        <v>21044.11524258</v>
      </c>
      <c r="J425" s="9" t="n">
        <f aca="false">IF(B425=1, H425, I425)</f>
        <v>21044.11524258</v>
      </c>
      <c r="K425" s="5" t="n">
        <v>21044.12</v>
      </c>
      <c r="L425" s="9" t="n">
        <f aca="false">J425-K425</f>
        <v>-0.00475741999980528</v>
      </c>
    </row>
    <row r="426" customFormat="false" ht="15" hidden="false" customHeight="false" outlineLevel="0" collapsed="false">
      <c r="A426" s="4" t="s">
        <v>435</v>
      </c>
      <c r="B426" s="4" t="n">
        <v>1</v>
      </c>
      <c r="C426" s="5" t="n">
        <v>401804.85</v>
      </c>
      <c r="D426" s="5" t="n">
        <v>411686.45</v>
      </c>
      <c r="E426" s="6" t="n">
        <v>0.0168</v>
      </c>
      <c r="F426" s="7" t="n">
        <v>0.6137</v>
      </c>
      <c r="G426" s="8" t="n">
        <f aca="false">MIN(75, MAX(25, F426*100))</f>
        <v>61.37</v>
      </c>
      <c r="H426" s="9" t="n">
        <f aca="false">E426*G426*D426/100</f>
        <v>4244.553169332</v>
      </c>
      <c r="I426" s="9" t="n">
        <f aca="false">E426*G426*D426/100</f>
        <v>4244.553169332</v>
      </c>
      <c r="J426" s="9" t="n">
        <f aca="false">IF(B426=1, H426, I426)</f>
        <v>4244.553169332</v>
      </c>
      <c r="K426" s="5" t="n">
        <v>4244.55</v>
      </c>
      <c r="L426" s="9" t="n">
        <f aca="false">J426-K426</f>
        <v>0.00316933199974301</v>
      </c>
    </row>
    <row r="427" customFormat="false" ht="15" hidden="false" customHeight="false" outlineLevel="0" collapsed="false">
      <c r="A427" s="4" t="s">
        <v>436</v>
      </c>
      <c r="B427" s="4" t="n">
        <v>1</v>
      </c>
      <c r="C427" s="5" t="n">
        <v>1955944.72</v>
      </c>
      <c r="D427" s="5" t="n">
        <v>1959753.16</v>
      </c>
      <c r="E427" s="6" t="n">
        <v>0.0247</v>
      </c>
      <c r="F427" s="7" t="n">
        <v>0.449</v>
      </c>
      <c r="G427" s="8" t="n">
        <f aca="false">MIN(75, MAX(25, F427*100))</f>
        <v>44.9</v>
      </c>
      <c r="H427" s="9" t="n">
        <f aca="false">E427*G427*D427/100</f>
        <v>21734.250470348</v>
      </c>
      <c r="I427" s="9" t="n">
        <f aca="false">E427*G427*D427/100</f>
        <v>21734.250470348</v>
      </c>
      <c r="J427" s="9" t="n">
        <f aca="false">IF(B427=1, H427, I427)</f>
        <v>21734.250470348</v>
      </c>
      <c r="K427" s="5" t="n">
        <v>21734.25</v>
      </c>
      <c r="L427" s="9" t="n">
        <f aca="false">J427-K427</f>
        <v>0.000470348000817467</v>
      </c>
    </row>
    <row r="428" customFormat="false" ht="15" hidden="false" customHeight="false" outlineLevel="0" collapsed="false">
      <c r="A428" s="4" t="s">
        <v>437</v>
      </c>
      <c r="B428" s="4" t="n">
        <v>1</v>
      </c>
      <c r="C428" s="5" t="n">
        <v>1359007.41</v>
      </c>
      <c r="D428" s="5" t="n">
        <v>1378961.26</v>
      </c>
      <c r="E428" s="6" t="n">
        <v>0.0183</v>
      </c>
      <c r="F428" s="7" t="n">
        <v>0.5027</v>
      </c>
      <c r="G428" s="8" t="n">
        <f aca="false">MIN(75, MAX(25, F428*100))</f>
        <v>50.27</v>
      </c>
      <c r="H428" s="9" t="n">
        <f aca="false">E428*G428*D428/100</f>
        <v>12685.6300048566</v>
      </c>
      <c r="I428" s="9" t="n">
        <f aca="false">E428*G428*D428/100</f>
        <v>12685.6300048566</v>
      </c>
      <c r="J428" s="9" t="n">
        <f aca="false">IF(B428=1, H428, I428)</f>
        <v>12685.6300048566</v>
      </c>
      <c r="K428" s="5" t="n">
        <v>12685.63</v>
      </c>
      <c r="L428" s="9" t="n">
        <f aca="false">J428-K428</f>
        <v>4.85660348203965E-006</v>
      </c>
    </row>
    <row r="429" customFormat="false" ht="15" hidden="false" customHeight="false" outlineLevel="0" collapsed="false">
      <c r="A429" s="4" t="s">
        <v>438</v>
      </c>
      <c r="B429" s="4" t="n">
        <v>1</v>
      </c>
      <c r="C429" s="5" t="n">
        <v>104223.94</v>
      </c>
      <c r="D429" s="5" t="n">
        <v>104387.46</v>
      </c>
      <c r="E429" s="6" t="n">
        <v>0.0163</v>
      </c>
      <c r="F429" s="7" t="n">
        <v>0.3698</v>
      </c>
      <c r="G429" s="8" t="n">
        <f aca="false">MIN(75, MAX(25, F429*100))</f>
        <v>36.98</v>
      </c>
      <c r="H429" s="9" t="n">
        <f aca="false">E429*G429*D429/100</f>
        <v>629.2204681404</v>
      </c>
      <c r="I429" s="9" t="n">
        <f aca="false">E429*G429*D429/100</f>
        <v>629.2204681404</v>
      </c>
      <c r="J429" s="9" t="n">
        <f aca="false">IF(B429=1, H429, I429)</f>
        <v>629.2204681404</v>
      </c>
      <c r="K429" s="5" t="n">
        <v>629.22</v>
      </c>
      <c r="L429" s="9" t="n">
        <f aca="false">J429-K429</f>
        <v>0.000468140400016637</v>
      </c>
    </row>
    <row r="430" customFormat="false" ht="15" hidden="false" customHeight="false" outlineLevel="0" collapsed="false">
      <c r="A430" s="4" t="s">
        <v>439</v>
      </c>
      <c r="B430" s="4" t="n">
        <v>1</v>
      </c>
      <c r="C430" s="5" t="n">
        <v>764974.63</v>
      </c>
      <c r="D430" s="5" t="n">
        <v>779242.32</v>
      </c>
      <c r="E430" s="6" t="n">
        <v>0.0225</v>
      </c>
      <c r="F430" s="7" t="n">
        <v>0.5901</v>
      </c>
      <c r="G430" s="8" t="n">
        <f aca="false">MIN(75, MAX(25, F430*100))</f>
        <v>59.01</v>
      </c>
      <c r="H430" s="9" t="n">
        <f aca="false">E430*G430*D430/100</f>
        <v>10346.19509322</v>
      </c>
      <c r="I430" s="9" t="n">
        <f aca="false">E430*G430*D430/100</f>
        <v>10346.19509322</v>
      </c>
      <c r="J430" s="9" t="n">
        <f aca="false">IF(B430=1, H430, I430)</f>
        <v>10346.19509322</v>
      </c>
      <c r="K430" s="5" t="n">
        <v>10346.2</v>
      </c>
      <c r="L430" s="9" t="n">
        <f aca="false">J430-K430</f>
        <v>-0.00490678000278422</v>
      </c>
    </row>
    <row r="431" customFormat="false" ht="15" hidden="false" customHeight="false" outlineLevel="0" collapsed="false">
      <c r="A431" s="4" t="s">
        <v>440</v>
      </c>
      <c r="B431" s="4" t="n">
        <v>3</v>
      </c>
      <c r="C431" s="5" t="n">
        <v>1460200</v>
      </c>
      <c r="D431" s="5" t="n">
        <v>1507806.51</v>
      </c>
      <c r="E431" s="6" t="n">
        <v>0.8241</v>
      </c>
      <c r="F431" s="7" t="n">
        <v>0.4401</v>
      </c>
      <c r="G431" s="8" t="n">
        <f aca="false">MIN(75, MAX(25, F431*100))</f>
        <v>44.01</v>
      </c>
      <c r="H431" s="9" t="n">
        <f aca="false">E431*G431*D431/100</f>
        <v>546860.930086529</v>
      </c>
      <c r="I431" s="9" t="n">
        <f aca="false">E431*G431*D431/100</f>
        <v>546860.930086529</v>
      </c>
      <c r="J431" s="9" t="n">
        <f aca="false">IF(B431=1, H431, I431)</f>
        <v>546860.930086529</v>
      </c>
      <c r="K431" s="5" t="n">
        <v>546860.93</v>
      </c>
      <c r="L431" s="9" t="n">
        <f aca="false">J431-K431</f>
        <v>8.65290639922023E-005</v>
      </c>
    </row>
    <row r="432" customFormat="false" ht="15" hidden="false" customHeight="false" outlineLevel="0" collapsed="false">
      <c r="A432" s="4" t="s">
        <v>441</v>
      </c>
      <c r="B432" s="4" t="n">
        <v>1</v>
      </c>
      <c r="C432" s="5" t="n">
        <v>147628.89</v>
      </c>
      <c r="D432" s="5" t="n">
        <v>151652.24</v>
      </c>
      <c r="E432" s="6" t="n">
        <v>0.0207</v>
      </c>
      <c r="F432" s="7" t="n">
        <v>0.4486</v>
      </c>
      <c r="G432" s="8" t="n">
        <f aca="false">MIN(75, MAX(25, F432*100))</f>
        <v>44.86</v>
      </c>
      <c r="H432" s="9" t="n">
        <f aca="false">E432*G432*D432/100</f>
        <v>1408.2457336848</v>
      </c>
      <c r="I432" s="9" t="n">
        <f aca="false">E432*G432*D432/100</f>
        <v>1408.2457336848</v>
      </c>
      <c r="J432" s="9" t="n">
        <f aca="false">IF(B432=1, H432, I432)</f>
        <v>1408.2457336848</v>
      </c>
      <c r="K432" s="5" t="n">
        <v>1408.25</v>
      </c>
      <c r="L432" s="9" t="n">
        <f aca="false">J432-K432</f>
        <v>-0.00426631520008414</v>
      </c>
    </row>
    <row r="433" customFormat="false" ht="15" hidden="false" customHeight="false" outlineLevel="0" collapsed="false">
      <c r="A433" s="4" t="s">
        <v>442</v>
      </c>
      <c r="B433" s="4" t="n">
        <v>1</v>
      </c>
      <c r="C433" s="5" t="n">
        <v>243669.7</v>
      </c>
      <c r="D433" s="5" t="n">
        <v>245149.25</v>
      </c>
      <c r="E433" s="6" t="n">
        <v>0.0154</v>
      </c>
      <c r="F433" s="7" t="n">
        <v>0.4854</v>
      </c>
      <c r="G433" s="8" t="n">
        <f aca="false">MIN(75, MAX(25, F433*100))</f>
        <v>48.54</v>
      </c>
      <c r="H433" s="9" t="n">
        <f aca="false">E433*G433*D433/100</f>
        <v>1832.52986763</v>
      </c>
      <c r="I433" s="9" t="n">
        <f aca="false">E433*G433*D433/100</f>
        <v>1832.52986763</v>
      </c>
      <c r="J433" s="9" t="n">
        <f aca="false">IF(B433=1, H433, I433)</f>
        <v>1832.52986763</v>
      </c>
      <c r="K433" s="5" t="n">
        <v>1832.53</v>
      </c>
      <c r="L433" s="9" t="n">
        <f aca="false">J433-K433</f>
        <v>-0.000132370000073934</v>
      </c>
    </row>
    <row r="434" customFormat="false" ht="15" hidden="false" customHeight="false" outlineLevel="0" collapsed="false">
      <c r="A434" s="4" t="s">
        <v>443</v>
      </c>
      <c r="B434" s="4" t="n">
        <v>3</v>
      </c>
      <c r="C434" s="5" t="n">
        <v>410971.27</v>
      </c>
      <c r="D434" s="5" t="n">
        <v>412345.98</v>
      </c>
      <c r="E434" s="6" t="n">
        <v>0.9895</v>
      </c>
      <c r="F434" s="7" t="n">
        <v>0.5743</v>
      </c>
      <c r="G434" s="8" t="n">
        <f aca="false">MIN(75, MAX(25, F434*100))</f>
        <v>57.43</v>
      </c>
      <c r="H434" s="9" t="n">
        <f aca="false">E434*G434*D434/100</f>
        <v>234323.788202703</v>
      </c>
      <c r="I434" s="9" t="n">
        <f aca="false">E434*G434*D434/100</f>
        <v>234323.788202703</v>
      </c>
      <c r="J434" s="9" t="n">
        <f aca="false">IF(B434=1, H434, I434)</f>
        <v>234323.788202703</v>
      </c>
      <c r="K434" s="5" t="n">
        <v>234323.79</v>
      </c>
      <c r="L434" s="9" t="n">
        <f aca="false">J434-K434</f>
        <v>-0.00179729697993025</v>
      </c>
    </row>
    <row r="435" customFormat="false" ht="15" hidden="false" customHeight="false" outlineLevel="0" collapsed="false">
      <c r="A435" s="4" t="s">
        <v>444</v>
      </c>
      <c r="B435" s="4" t="n">
        <v>1</v>
      </c>
      <c r="C435" s="5" t="n">
        <v>746962.61</v>
      </c>
      <c r="D435" s="5" t="n">
        <v>776323.7</v>
      </c>
      <c r="E435" s="6" t="n">
        <v>0.0154</v>
      </c>
      <c r="F435" s="7" t="n">
        <v>0.5932</v>
      </c>
      <c r="G435" s="8" t="n">
        <f aca="false">MIN(75, MAX(25, F435*100))</f>
        <v>59.32</v>
      </c>
      <c r="H435" s="9" t="n">
        <f aca="false">E435*G435*D435/100</f>
        <v>7091.934370136</v>
      </c>
      <c r="I435" s="9" t="n">
        <f aca="false">E435*G435*D435/100</f>
        <v>7091.934370136</v>
      </c>
      <c r="J435" s="9" t="n">
        <f aca="false">IF(B435=1, H435, I435)</f>
        <v>7091.934370136</v>
      </c>
      <c r="K435" s="5" t="n">
        <v>7091.93</v>
      </c>
      <c r="L435" s="9" t="n">
        <f aca="false">J435-K435</f>
        <v>0.00437013599912461</v>
      </c>
    </row>
    <row r="436" customFormat="false" ht="15" hidden="false" customHeight="false" outlineLevel="0" collapsed="false">
      <c r="A436" s="4" t="s">
        <v>445</v>
      </c>
      <c r="B436" s="4" t="n">
        <v>3</v>
      </c>
      <c r="C436" s="5" t="n">
        <v>298348.86</v>
      </c>
      <c r="D436" s="5" t="n">
        <v>306947.44</v>
      </c>
      <c r="E436" s="6" t="n">
        <v>0.7573</v>
      </c>
      <c r="F436" s="7" t="n">
        <v>0.3871</v>
      </c>
      <c r="G436" s="8" t="n">
        <f aca="false">MIN(75, MAX(25, F436*100))</f>
        <v>38.71</v>
      </c>
      <c r="H436" s="9" t="n">
        <f aca="false">E436*G436*D436/100</f>
        <v>89981.8968023752</v>
      </c>
      <c r="I436" s="9" t="n">
        <f aca="false">E436*G436*D436/100</f>
        <v>89981.8968023752</v>
      </c>
      <c r="J436" s="9" t="n">
        <f aca="false">IF(B436=1, H436, I436)</f>
        <v>89981.8968023752</v>
      </c>
      <c r="K436" s="5" t="n">
        <v>89981.9</v>
      </c>
      <c r="L436" s="9" t="n">
        <f aca="false">J436-K436</f>
        <v>-0.00319762478466146</v>
      </c>
    </row>
    <row r="437" customFormat="false" ht="15" hidden="false" customHeight="false" outlineLevel="0" collapsed="false">
      <c r="A437" s="4" t="s">
        <v>446</v>
      </c>
      <c r="B437" s="4" t="n">
        <v>2</v>
      </c>
      <c r="C437" s="5" t="n">
        <v>0</v>
      </c>
      <c r="D437" s="5" t="n">
        <v>0</v>
      </c>
      <c r="E437" s="6" t="n">
        <v>0.1081</v>
      </c>
      <c r="F437" s="7" t="n">
        <v>0.4055</v>
      </c>
      <c r="G437" s="8" t="n">
        <f aca="false">MIN(75, MAX(25, F437*100))</f>
        <v>40.55</v>
      </c>
      <c r="H437" s="9" t="n">
        <f aca="false">E437*G437*D437/100</f>
        <v>0</v>
      </c>
      <c r="I437" s="9" t="n">
        <f aca="false">E437*G437*D437/100</f>
        <v>0</v>
      </c>
      <c r="J437" s="9" t="n">
        <f aca="false">IF(B437=1, H437, I437)</f>
        <v>0</v>
      </c>
      <c r="K437" s="5" t="n">
        <v>0</v>
      </c>
      <c r="L437" s="9" t="n">
        <f aca="false">J437-K437</f>
        <v>0</v>
      </c>
    </row>
    <row r="438" customFormat="false" ht="15" hidden="false" customHeight="false" outlineLevel="0" collapsed="false">
      <c r="A438" s="4" t="s">
        <v>447</v>
      </c>
      <c r="B438" s="4" t="n">
        <v>3</v>
      </c>
      <c r="C438" s="5" t="n">
        <v>1270986.33</v>
      </c>
      <c r="D438" s="5" t="n">
        <v>1287060.25</v>
      </c>
      <c r="E438" s="6" t="n">
        <v>0.8018</v>
      </c>
      <c r="F438" s="7" t="n">
        <v>0.4073</v>
      </c>
      <c r="G438" s="8" t="n">
        <f aca="false">MIN(75, MAX(25, F438*100))</f>
        <v>40.73</v>
      </c>
      <c r="H438" s="9" t="n">
        <f aca="false">E438*G438*D438/100</f>
        <v>420319.307211685</v>
      </c>
      <c r="I438" s="9" t="n">
        <f aca="false">E438*G438*D438/100</f>
        <v>420319.307211685</v>
      </c>
      <c r="J438" s="9" t="n">
        <f aca="false">IF(B438=1, H438, I438)</f>
        <v>420319.307211685</v>
      </c>
      <c r="K438" s="5" t="n">
        <v>420319.31</v>
      </c>
      <c r="L438" s="9" t="n">
        <f aca="false">J438-K438</f>
        <v>-0.00278831511968747</v>
      </c>
    </row>
    <row r="439" customFormat="false" ht="15" hidden="false" customHeight="false" outlineLevel="0" collapsed="false">
      <c r="A439" s="4" t="s">
        <v>448</v>
      </c>
      <c r="B439" s="4" t="n">
        <v>1</v>
      </c>
      <c r="C439" s="5" t="n">
        <v>57487.22</v>
      </c>
      <c r="D439" s="5" t="n">
        <v>59312.59</v>
      </c>
      <c r="E439" s="6" t="n">
        <v>0.0193</v>
      </c>
      <c r="F439" s="7" t="n">
        <v>0.4105</v>
      </c>
      <c r="G439" s="8" t="n">
        <f aca="false">MIN(75, MAX(25, F439*100))</f>
        <v>41.05</v>
      </c>
      <c r="H439" s="9" t="n">
        <f aca="false">E439*G439*D439/100</f>
        <v>469.9128911635</v>
      </c>
      <c r="I439" s="9" t="n">
        <f aca="false">E439*G439*D439/100</f>
        <v>469.9128911635</v>
      </c>
      <c r="J439" s="9" t="n">
        <f aca="false">IF(B439=1, H439, I439)</f>
        <v>469.9128911635</v>
      </c>
      <c r="K439" s="5" t="n">
        <v>469.91</v>
      </c>
      <c r="L439" s="9" t="n">
        <f aca="false">J439-K439</f>
        <v>0.00289116349995311</v>
      </c>
    </row>
    <row r="440" customFormat="false" ht="15" hidden="false" customHeight="false" outlineLevel="0" collapsed="false">
      <c r="A440" s="4" t="s">
        <v>449</v>
      </c>
      <c r="B440" s="4" t="n">
        <v>1</v>
      </c>
      <c r="C440" s="5" t="n">
        <v>312015.63</v>
      </c>
      <c r="D440" s="5" t="n">
        <v>319454.63</v>
      </c>
      <c r="E440" s="6" t="n">
        <v>0.0223</v>
      </c>
      <c r="F440" s="7" t="n">
        <v>0.4327</v>
      </c>
      <c r="G440" s="8" t="n">
        <f aca="false">MIN(75, MAX(25, F440*100))</f>
        <v>43.27</v>
      </c>
      <c r="H440" s="9" t="n">
        <f aca="false">E440*G440*D440/100</f>
        <v>3082.4848103423</v>
      </c>
      <c r="I440" s="9" t="n">
        <f aca="false">E440*G440*D440/100</f>
        <v>3082.4848103423</v>
      </c>
      <c r="J440" s="9" t="n">
        <f aca="false">IF(B440=1, H440, I440)</f>
        <v>3082.4848103423</v>
      </c>
      <c r="K440" s="5" t="n">
        <v>3082.48</v>
      </c>
      <c r="L440" s="9" t="n">
        <f aca="false">J440-K440</f>
        <v>0.00481034229960642</v>
      </c>
    </row>
    <row r="441" customFormat="false" ht="15" hidden="false" customHeight="false" outlineLevel="0" collapsed="false">
      <c r="A441" s="4" t="s">
        <v>450</v>
      </c>
      <c r="B441" s="4" t="n">
        <v>1</v>
      </c>
      <c r="C441" s="5" t="n">
        <v>186155.77</v>
      </c>
      <c r="D441" s="5" t="n">
        <v>186187.15</v>
      </c>
      <c r="E441" s="6" t="n">
        <v>0.0215</v>
      </c>
      <c r="F441" s="7" t="n">
        <v>0.6432</v>
      </c>
      <c r="G441" s="8" t="n">
        <f aca="false">MIN(75, MAX(25, F441*100))</f>
        <v>64.32</v>
      </c>
      <c r="H441" s="9" t="n">
        <f aca="false">E441*G441*D441/100</f>
        <v>2574.74485992</v>
      </c>
      <c r="I441" s="9" t="n">
        <f aca="false">E441*G441*D441/100</f>
        <v>2574.74485992</v>
      </c>
      <c r="J441" s="9" t="n">
        <f aca="false">IF(B441=1, H441, I441)</f>
        <v>2574.74485992</v>
      </c>
      <c r="K441" s="5" t="n">
        <v>2574.74</v>
      </c>
      <c r="L441" s="9" t="n">
        <f aca="false">J441-K441</f>
        <v>0.00485991999948965</v>
      </c>
    </row>
    <row r="442" customFormat="false" ht="15" hidden="false" customHeight="false" outlineLevel="0" collapsed="false">
      <c r="A442" s="4" t="s">
        <v>451</v>
      </c>
      <c r="B442" s="4" t="n">
        <v>1</v>
      </c>
      <c r="C442" s="5" t="n">
        <v>511059.25</v>
      </c>
      <c r="D442" s="5" t="n">
        <v>533952.8</v>
      </c>
      <c r="E442" s="6" t="n">
        <v>0.0223</v>
      </c>
      <c r="F442" s="7" t="n">
        <v>0.381</v>
      </c>
      <c r="G442" s="8" t="n">
        <f aca="false">MIN(75, MAX(25, F442*100))</f>
        <v>38.1</v>
      </c>
      <c r="H442" s="9" t="n">
        <f aca="false">E442*G442*D442/100</f>
        <v>4536.62317464</v>
      </c>
      <c r="I442" s="9" t="n">
        <f aca="false">E442*G442*D442/100</f>
        <v>4536.62317464</v>
      </c>
      <c r="J442" s="9" t="n">
        <f aca="false">IF(B442=1, H442, I442)</f>
        <v>4536.62317464</v>
      </c>
      <c r="K442" s="5" t="n">
        <v>4536.62</v>
      </c>
      <c r="L442" s="9" t="n">
        <f aca="false">J442-K442</f>
        <v>0.00317463999999745</v>
      </c>
    </row>
    <row r="443" customFormat="false" ht="15" hidden="false" customHeight="false" outlineLevel="0" collapsed="false">
      <c r="A443" s="4" t="s">
        <v>452</v>
      </c>
      <c r="B443" s="4" t="n">
        <v>1</v>
      </c>
      <c r="C443" s="5" t="n">
        <v>102333.83</v>
      </c>
      <c r="D443" s="5" t="n">
        <v>105102.34</v>
      </c>
      <c r="E443" s="6" t="n">
        <v>0.0145</v>
      </c>
      <c r="F443" s="7" t="n">
        <v>0.5567</v>
      </c>
      <c r="G443" s="8" t="n">
        <f aca="false">MIN(75, MAX(25, F443*100))</f>
        <v>55.67</v>
      </c>
      <c r="H443" s="9" t="n">
        <f aca="false">E443*G443*D443/100</f>
        <v>848.401853831</v>
      </c>
      <c r="I443" s="9" t="n">
        <f aca="false">E443*G443*D443/100</f>
        <v>848.401853831</v>
      </c>
      <c r="J443" s="9" t="n">
        <f aca="false">IF(B443=1, H443, I443)</f>
        <v>848.401853831</v>
      </c>
      <c r="K443" s="5" t="n">
        <v>848.4</v>
      </c>
      <c r="L443" s="9" t="n">
        <f aca="false">J443-K443</f>
        <v>0.0018538310000622</v>
      </c>
    </row>
    <row r="444" customFormat="false" ht="15" hidden="false" customHeight="false" outlineLevel="0" collapsed="false">
      <c r="A444" s="4" t="s">
        <v>453</v>
      </c>
      <c r="B444" s="4" t="n">
        <v>1</v>
      </c>
      <c r="C444" s="5" t="n">
        <v>182527.03</v>
      </c>
      <c r="D444" s="5" t="n">
        <v>183754.66</v>
      </c>
      <c r="E444" s="6" t="n">
        <v>0.0219</v>
      </c>
      <c r="F444" s="7" t="n">
        <v>0.4177</v>
      </c>
      <c r="G444" s="8" t="n">
        <f aca="false">MIN(75, MAX(25, F444*100))</f>
        <v>41.77</v>
      </c>
      <c r="H444" s="9" t="n">
        <f aca="false">E444*G444*D444/100</f>
        <v>1680.9196404558</v>
      </c>
      <c r="I444" s="9" t="n">
        <f aca="false">E444*G444*D444/100</f>
        <v>1680.9196404558</v>
      </c>
      <c r="J444" s="9" t="n">
        <f aca="false">IF(B444=1, H444, I444)</f>
        <v>1680.9196404558</v>
      </c>
      <c r="K444" s="5" t="n">
        <v>1680.92</v>
      </c>
      <c r="L444" s="9" t="n">
        <f aca="false">J444-K444</f>
        <v>-0.000359544199909578</v>
      </c>
    </row>
    <row r="445" customFormat="false" ht="15" hidden="false" customHeight="false" outlineLevel="0" collapsed="false">
      <c r="A445" s="4" t="s">
        <v>454</v>
      </c>
      <c r="B445" s="4" t="n">
        <v>1</v>
      </c>
      <c r="C445" s="5" t="n">
        <v>485110.21</v>
      </c>
      <c r="D445" s="5" t="n">
        <v>501131.38</v>
      </c>
      <c r="E445" s="6" t="n">
        <v>0.0239</v>
      </c>
      <c r="F445" s="7" t="n">
        <v>0.5283</v>
      </c>
      <c r="G445" s="8" t="n">
        <f aca="false">MIN(75, MAX(25, F445*100))</f>
        <v>52.83</v>
      </c>
      <c r="H445" s="9" t="n">
        <f aca="false">E445*G445*D445/100</f>
        <v>6327.4702224906</v>
      </c>
      <c r="I445" s="9" t="n">
        <f aca="false">E445*G445*D445/100</f>
        <v>6327.4702224906</v>
      </c>
      <c r="J445" s="9" t="n">
        <f aca="false">IF(B445=1, H445, I445)</f>
        <v>6327.4702224906</v>
      </c>
      <c r="K445" s="5" t="n">
        <v>6327.47</v>
      </c>
      <c r="L445" s="9" t="n">
        <f aca="false">J445-K445</f>
        <v>0.000222490599298908</v>
      </c>
    </row>
    <row r="446" customFormat="false" ht="15" hidden="false" customHeight="false" outlineLevel="0" collapsed="false">
      <c r="A446" s="4" t="s">
        <v>455</v>
      </c>
      <c r="B446" s="4" t="n">
        <v>1</v>
      </c>
      <c r="C446" s="5" t="n">
        <v>221530.57</v>
      </c>
      <c r="D446" s="5" t="n">
        <v>222092.79</v>
      </c>
      <c r="E446" s="6" t="n">
        <v>0.0236</v>
      </c>
      <c r="F446" s="7" t="n">
        <v>0.4221</v>
      </c>
      <c r="G446" s="8" t="n">
        <f aca="false">MIN(75, MAX(25, F446*100))</f>
        <v>42.21</v>
      </c>
      <c r="H446" s="9" t="n">
        <f aca="false">E446*G446*D446/100</f>
        <v>2212.3906531524</v>
      </c>
      <c r="I446" s="9" t="n">
        <f aca="false">E446*G446*D446/100</f>
        <v>2212.3906531524</v>
      </c>
      <c r="J446" s="9" t="n">
        <f aca="false">IF(B446=1, H446, I446)</f>
        <v>2212.3906531524</v>
      </c>
      <c r="K446" s="5" t="n">
        <v>2212.39</v>
      </c>
      <c r="L446" s="9" t="n">
        <f aca="false">J446-K446</f>
        <v>0.000653152399991086</v>
      </c>
    </row>
    <row r="447" customFormat="false" ht="15" hidden="false" customHeight="false" outlineLevel="0" collapsed="false">
      <c r="A447" s="4" t="s">
        <v>456</v>
      </c>
      <c r="B447" s="4" t="n">
        <v>1</v>
      </c>
      <c r="C447" s="5" t="n">
        <v>1506928.31</v>
      </c>
      <c r="D447" s="5" t="n">
        <v>1565702.1</v>
      </c>
      <c r="E447" s="6" t="n">
        <v>0.0144</v>
      </c>
      <c r="F447" s="7" t="n">
        <v>0.5796</v>
      </c>
      <c r="G447" s="8" t="n">
        <f aca="false">MIN(75, MAX(25, F447*100))</f>
        <v>57.96</v>
      </c>
      <c r="H447" s="9" t="n">
        <f aca="false">E447*G447*D447/100</f>
        <v>13067.725495104</v>
      </c>
      <c r="I447" s="9" t="n">
        <f aca="false">E447*G447*D447/100</f>
        <v>13067.725495104</v>
      </c>
      <c r="J447" s="9" t="n">
        <f aca="false">IF(B447=1, H447, I447)</f>
        <v>13067.725495104</v>
      </c>
      <c r="K447" s="5" t="n">
        <v>13067.73</v>
      </c>
      <c r="L447" s="9" t="n">
        <f aca="false">J447-K447</f>
        <v>-0.00450489599825232</v>
      </c>
    </row>
    <row r="448" customFormat="false" ht="15" hidden="false" customHeight="false" outlineLevel="0" collapsed="false">
      <c r="A448" s="4" t="s">
        <v>457</v>
      </c>
      <c r="B448" s="4" t="n">
        <v>1</v>
      </c>
      <c r="C448" s="5" t="n">
        <v>1448939.06</v>
      </c>
      <c r="D448" s="5" t="n">
        <v>1504577.39</v>
      </c>
      <c r="E448" s="6" t="n">
        <v>0.0174</v>
      </c>
      <c r="F448" s="7" t="n">
        <v>0.5067</v>
      </c>
      <c r="G448" s="8" t="n">
        <f aca="false">MIN(75, MAX(25, F448*100))</f>
        <v>50.67</v>
      </c>
      <c r="H448" s="9" t="n">
        <f aca="false">E448*G448*D448/100</f>
        <v>13265.2269251262</v>
      </c>
      <c r="I448" s="9" t="n">
        <f aca="false">E448*G448*D448/100</f>
        <v>13265.2269251262</v>
      </c>
      <c r="J448" s="9" t="n">
        <f aca="false">IF(B448=1, H448, I448)</f>
        <v>13265.2269251262</v>
      </c>
      <c r="K448" s="5" t="n">
        <v>13265.23</v>
      </c>
      <c r="L448" s="9" t="n">
        <f aca="false">J448-K448</f>
        <v>-0.00307487380268867</v>
      </c>
    </row>
    <row r="449" customFormat="false" ht="15" hidden="false" customHeight="false" outlineLevel="0" collapsed="false">
      <c r="A449" s="4" t="s">
        <v>458</v>
      </c>
      <c r="B449" s="4" t="n">
        <v>1</v>
      </c>
      <c r="C449" s="5" t="n">
        <v>378611.02</v>
      </c>
      <c r="D449" s="5" t="n">
        <v>393474.15</v>
      </c>
      <c r="E449" s="6" t="n">
        <v>0.0184</v>
      </c>
      <c r="F449" s="7" t="n">
        <v>0.5965</v>
      </c>
      <c r="G449" s="8" t="n">
        <f aca="false">MIN(75, MAX(25, F449*100))</f>
        <v>59.65</v>
      </c>
      <c r="H449" s="9" t="n">
        <f aca="false">E449*G449*D449/100</f>
        <v>4318.61488074</v>
      </c>
      <c r="I449" s="9" t="n">
        <f aca="false">E449*G449*D449/100</f>
        <v>4318.61488074</v>
      </c>
      <c r="J449" s="9" t="n">
        <f aca="false">IF(B449=1, H449, I449)</f>
        <v>4318.61488074</v>
      </c>
      <c r="K449" s="5" t="n">
        <v>4318.61</v>
      </c>
      <c r="L449" s="9" t="n">
        <f aca="false">J449-K449</f>
        <v>0.00488074000077177</v>
      </c>
    </row>
    <row r="450" customFormat="false" ht="15" hidden="false" customHeight="false" outlineLevel="0" collapsed="false">
      <c r="A450" s="4" t="s">
        <v>459</v>
      </c>
      <c r="B450" s="4" t="n">
        <v>2</v>
      </c>
      <c r="C450" s="5" t="n">
        <v>151487.9</v>
      </c>
      <c r="D450" s="5" t="n">
        <v>158156.81</v>
      </c>
      <c r="E450" s="6" t="n">
        <v>0.1234</v>
      </c>
      <c r="F450" s="7" t="n">
        <v>0.4921</v>
      </c>
      <c r="G450" s="8" t="n">
        <f aca="false">MIN(75, MAX(25, F450*100))</f>
        <v>49.21</v>
      </c>
      <c r="H450" s="9" t="n">
        <f aca="false">E450*G450*D450/100</f>
        <v>9604.0944292034</v>
      </c>
      <c r="I450" s="9" t="n">
        <f aca="false">E450*G450*D450/100</f>
        <v>9604.0944292034</v>
      </c>
      <c r="J450" s="9" t="n">
        <f aca="false">IF(B450=1, H450, I450)</f>
        <v>9604.0944292034</v>
      </c>
      <c r="K450" s="5" t="n">
        <v>9604.09</v>
      </c>
      <c r="L450" s="9" t="n">
        <f aca="false">J450-K450</f>
        <v>0.0044292033999227</v>
      </c>
    </row>
    <row r="451" customFormat="false" ht="15" hidden="false" customHeight="false" outlineLevel="0" collapsed="false">
      <c r="A451" s="4" t="s">
        <v>460</v>
      </c>
      <c r="B451" s="4" t="n">
        <v>1</v>
      </c>
      <c r="C451" s="5" t="n">
        <v>232496.18</v>
      </c>
      <c r="D451" s="5" t="n">
        <v>237032</v>
      </c>
      <c r="E451" s="6" t="n">
        <v>0.0195</v>
      </c>
      <c r="F451" s="7" t="n">
        <v>0.3622</v>
      </c>
      <c r="G451" s="8" t="n">
        <f aca="false">MIN(75, MAX(25, F451*100))</f>
        <v>36.22</v>
      </c>
      <c r="H451" s="9" t="n">
        <f aca="false">E451*G451*D451/100</f>
        <v>1674.1333128</v>
      </c>
      <c r="I451" s="9" t="n">
        <f aca="false">E451*G451*D451/100</f>
        <v>1674.1333128</v>
      </c>
      <c r="J451" s="9" t="n">
        <f aca="false">IF(B451=1, H451, I451)</f>
        <v>1674.1333128</v>
      </c>
      <c r="K451" s="5" t="n">
        <v>1674.13</v>
      </c>
      <c r="L451" s="9" t="n">
        <f aca="false">J451-K451</f>
        <v>0.00331279999977596</v>
      </c>
    </row>
    <row r="452" customFormat="false" ht="15" hidden="false" customHeight="false" outlineLevel="0" collapsed="false">
      <c r="A452" s="4" t="s">
        <v>461</v>
      </c>
      <c r="B452" s="4" t="n">
        <v>1</v>
      </c>
      <c r="C452" s="5" t="n">
        <v>420633.5</v>
      </c>
      <c r="D452" s="5" t="n">
        <v>433464.82</v>
      </c>
      <c r="E452" s="6" t="n">
        <v>0.0227</v>
      </c>
      <c r="F452" s="7" t="n">
        <v>0.3903</v>
      </c>
      <c r="G452" s="8" t="n">
        <f aca="false">MIN(75, MAX(25, F452*100))</f>
        <v>39.03</v>
      </c>
      <c r="H452" s="9" t="n">
        <f aca="false">E452*G452*D452/100</f>
        <v>3840.4159468842</v>
      </c>
      <c r="I452" s="9" t="n">
        <f aca="false">E452*G452*D452/100</f>
        <v>3840.4159468842</v>
      </c>
      <c r="J452" s="9" t="n">
        <f aca="false">IF(B452=1, H452, I452)</f>
        <v>3840.4159468842</v>
      </c>
      <c r="K452" s="5" t="n">
        <v>3840.42</v>
      </c>
      <c r="L452" s="9" t="n">
        <f aca="false">J452-K452</f>
        <v>-0.00405311579925183</v>
      </c>
    </row>
    <row r="453" customFormat="false" ht="15" hidden="false" customHeight="false" outlineLevel="0" collapsed="false">
      <c r="A453" s="4" t="s">
        <v>462</v>
      </c>
      <c r="B453" s="4" t="n">
        <v>1</v>
      </c>
      <c r="C453" s="5" t="n">
        <v>748321.28</v>
      </c>
      <c r="D453" s="5" t="n">
        <v>755729.29</v>
      </c>
      <c r="E453" s="6" t="n">
        <v>0.0211</v>
      </c>
      <c r="F453" s="7" t="n">
        <v>0.5393</v>
      </c>
      <c r="G453" s="8" t="n">
        <f aca="false">MIN(75, MAX(25, F453*100))</f>
        <v>53.93</v>
      </c>
      <c r="H453" s="9" t="n">
        <f aca="false">E453*G453*D453/100</f>
        <v>8599.6174086467</v>
      </c>
      <c r="I453" s="9" t="n">
        <f aca="false">E453*G453*D453/100</f>
        <v>8599.6174086467</v>
      </c>
      <c r="J453" s="9" t="n">
        <f aca="false">IF(B453=1, H453, I453)</f>
        <v>8599.6174086467</v>
      </c>
      <c r="K453" s="5" t="n">
        <v>8599.62</v>
      </c>
      <c r="L453" s="9" t="n">
        <f aca="false">J453-K453</f>
        <v>-0.00259135330088611</v>
      </c>
    </row>
    <row r="454" customFormat="false" ht="15" hidden="false" customHeight="false" outlineLevel="0" collapsed="false">
      <c r="A454" s="4" t="s">
        <v>463</v>
      </c>
      <c r="B454" s="4" t="n">
        <v>1</v>
      </c>
      <c r="C454" s="5" t="n">
        <v>308114.76</v>
      </c>
      <c r="D454" s="5" t="n">
        <v>315776.83</v>
      </c>
      <c r="E454" s="6" t="n">
        <v>0.018</v>
      </c>
      <c r="F454" s="7" t="n">
        <v>0.5411</v>
      </c>
      <c r="G454" s="8" t="n">
        <f aca="false">MIN(75, MAX(25, F454*100))</f>
        <v>54.11</v>
      </c>
      <c r="H454" s="9" t="n">
        <f aca="false">E454*G454*D454/100</f>
        <v>3075.603168834</v>
      </c>
      <c r="I454" s="9" t="n">
        <f aca="false">E454*G454*D454/100</f>
        <v>3075.603168834</v>
      </c>
      <c r="J454" s="9" t="n">
        <f aca="false">IF(B454=1, H454, I454)</f>
        <v>3075.603168834</v>
      </c>
      <c r="K454" s="5" t="n">
        <v>3075.6</v>
      </c>
      <c r="L454" s="9" t="n">
        <f aca="false">J454-K454</f>
        <v>0.00316883400046208</v>
      </c>
    </row>
    <row r="455" customFormat="false" ht="15" hidden="false" customHeight="false" outlineLevel="0" collapsed="false">
      <c r="A455" s="4" t="s">
        <v>464</v>
      </c>
      <c r="B455" s="4" t="n">
        <v>1</v>
      </c>
      <c r="C455" s="5" t="n">
        <v>687060.73</v>
      </c>
      <c r="D455" s="5" t="n">
        <v>689585.73</v>
      </c>
      <c r="E455" s="6" t="n">
        <v>0.0213</v>
      </c>
      <c r="F455" s="7" t="n">
        <v>0.5018</v>
      </c>
      <c r="G455" s="8" t="n">
        <f aca="false">MIN(75, MAX(25, F455*100))</f>
        <v>50.18</v>
      </c>
      <c r="H455" s="9" t="n">
        <f aca="false">E455*G455*D455/100</f>
        <v>7370.5267413882</v>
      </c>
      <c r="I455" s="9" t="n">
        <f aca="false">E455*G455*D455/100</f>
        <v>7370.5267413882</v>
      </c>
      <c r="J455" s="9" t="n">
        <f aca="false">IF(B455=1, H455, I455)</f>
        <v>7370.5267413882</v>
      </c>
      <c r="K455" s="5" t="n">
        <v>7370.53</v>
      </c>
      <c r="L455" s="9" t="n">
        <f aca="false">J455-K455</f>
        <v>-0.0032586117995379</v>
      </c>
    </row>
    <row r="456" customFormat="false" ht="15" hidden="false" customHeight="false" outlineLevel="0" collapsed="false">
      <c r="A456" s="4" t="s">
        <v>465</v>
      </c>
      <c r="B456" s="4" t="n">
        <v>2</v>
      </c>
      <c r="C456" s="5" t="n">
        <v>510411.05</v>
      </c>
      <c r="D456" s="5" t="n">
        <v>518587.28</v>
      </c>
      <c r="E456" s="6" t="n">
        <v>0.0951</v>
      </c>
      <c r="F456" s="7" t="n">
        <v>0.4867</v>
      </c>
      <c r="G456" s="8" t="n">
        <f aca="false">MIN(75, MAX(25, F456*100))</f>
        <v>48.67</v>
      </c>
      <c r="H456" s="9" t="n">
        <f aca="false">E456*G456*D456/100</f>
        <v>24002.9004146376</v>
      </c>
      <c r="I456" s="9" t="n">
        <f aca="false">E456*G456*D456/100</f>
        <v>24002.9004146376</v>
      </c>
      <c r="J456" s="9" t="n">
        <f aca="false">IF(B456=1, H456, I456)</f>
        <v>24002.9004146376</v>
      </c>
      <c r="K456" s="5" t="n">
        <v>24002.9</v>
      </c>
      <c r="L456" s="9" t="n">
        <f aca="false">J456-K456</f>
        <v>0.000414637601352297</v>
      </c>
    </row>
    <row r="457" customFormat="false" ht="15" hidden="false" customHeight="false" outlineLevel="0" collapsed="false">
      <c r="A457" s="4" t="s">
        <v>466</v>
      </c>
      <c r="B457" s="4" t="n">
        <v>1</v>
      </c>
      <c r="C457" s="5" t="n">
        <v>528122.01</v>
      </c>
      <c r="D457" s="5" t="n">
        <v>545157.52</v>
      </c>
      <c r="E457" s="6" t="n">
        <v>0.0189</v>
      </c>
      <c r="F457" s="7" t="n">
        <v>0.4136</v>
      </c>
      <c r="G457" s="8" t="n">
        <f aca="false">MIN(75, MAX(25, F457*100))</f>
        <v>41.36</v>
      </c>
      <c r="H457" s="9" t="n">
        <f aca="false">E457*G457*D457/100</f>
        <v>4261.5181401408</v>
      </c>
      <c r="I457" s="9" t="n">
        <f aca="false">E457*G457*D457/100</f>
        <v>4261.5181401408</v>
      </c>
      <c r="J457" s="9" t="n">
        <f aca="false">IF(B457=1, H457, I457)</f>
        <v>4261.5181401408</v>
      </c>
      <c r="K457" s="5" t="n">
        <v>4261.52</v>
      </c>
      <c r="L457" s="9" t="n">
        <f aca="false">J457-K457</f>
        <v>-0.0018598592005219</v>
      </c>
    </row>
    <row r="458" customFormat="false" ht="15" hidden="false" customHeight="false" outlineLevel="0" collapsed="false">
      <c r="A458" s="4" t="s">
        <v>467</v>
      </c>
      <c r="B458" s="4" t="n">
        <v>1</v>
      </c>
      <c r="C458" s="5" t="n">
        <v>206174.66</v>
      </c>
      <c r="D458" s="5" t="n">
        <v>207671.29</v>
      </c>
      <c r="E458" s="6" t="n">
        <v>0.0151</v>
      </c>
      <c r="F458" s="7" t="n">
        <v>0.5067</v>
      </c>
      <c r="G458" s="8" t="n">
        <f aca="false">MIN(75, MAX(25, F458*100))</f>
        <v>50.67</v>
      </c>
      <c r="H458" s="9" t="n">
        <f aca="false">E458*G458*D458/100</f>
        <v>1588.9283439093</v>
      </c>
      <c r="I458" s="9" t="n">
        <f aca="false">E458*G458*D458/100</f>
        <v>1588.9283439093</v>
      </c>
      <c r="J458" s="9" t="n">
        <f aca="false">IF(B458=1, H458, I458)</f>
        <v>1588.9283439093</v>
      </c>
      <c r="K458" s="5" t="n">
        <v>1588.93</v>
      </c>
      <c r="L458" s="9" t="n">
        <f aca="false">J458-K458</f>
        <v>-0.00165609069995298</v>
      </c>
    </row>
    <row r="459" customFormat="false" ht="15" hidden="false" customHeight="false" outlineLevel="0" collapsed="false">
      <c r="A459" s="4" t="s">
        <v>468</v>
      </c>
      <c r="B459" s="4" t="n">
        <v>1</v>
      </c>
      <c r="C459" s="5" t="n">
        <v>1360235.09</v>
      </c>
      <c r="D459" s="5" t="n">
        <v>1374919.29</v>
      </c>
      <c r="E459" s="6" t="n">
        <v>0.0217</v>
      </c>
      <c r="F459" s="7" t="n">
        <v>0.4022</v>
      </c>
      <c r="G459" s="8" t="n">
        <f aca="false">MIN(75, MAX(25, F459*100))</f>
        <v>40.22</v>
      </c>
      <c r="H459" s="9" t="n">
        <f aca="false">E459*G459*D459/100</f>
        <v>11999.9380841046</v>
      </c>
      <c r="I459" s="9" t="n">
        <f aca="false">E459*G459*D459/100</f>
        <v>11999.9380841046</v>
      </c>
      <c r="J459" s="9" t="n">
        <f aca="false">IF(B459=1, H459, I459)</f>
        <v>11999.9380841046</v>
      </c>
      <c r="K459" s="5" t="n">
        <v>11999.94</v>
      </c>
      <c r="L459" s="9" t="n">
        <f aca="false">J459-K459</f>
        <v>-0.00191589540008863</v>
      </c>
    </row>
    <row r="460" customFormat="false" ht="15" hidden="false" customHeight="false" outlineLevel="0" collapsed="false">
      <c r="A460" s="4" t="s">
        <v>469</v>
      </c>
      <c r="B460" s="4" t="n">
        <v>1</v>
      </c>
      <c r="C460" s="5" t="n">
        <v>778700</v>
      </c>
      <c r="D460" s="5" t="n">
        <v>809209.5</v>
      </c>
      <c r="E460" s="6" t="n">
        <v>0.0192</v>
      </c>
      <c r="F460" s="7" t="n">
        <v>0.4298</v>
      </c>
      <c r="G460" s="8" t="n">
        <f aca="false">MIN(75, MAX(25, F460*100))</f>
        <v>42.98</v>
      </c>
      <c r="H460" s="9" t="n">
        <f aca="false">E460*G460*D460/100</f>
        <v>6677.72626752</v>
      </c>
      <c r="I460" s="9" t="n">
        <f aca="false">E460*G460*D460/100</f>
        <v>6677.72626752</v>
      </c>
      <c r="J460" s="9" t="n">
        <f aca="false">IF(B460=1, H460, I460)</f>
        <v>6677.72626752</v>
      </c>
      <c r="K460" s="5" t="n">
        <v>6677.73</v>
      </c>
      <c r="L460" s="9" t="n">
        <f aca="false">J460-K460</f>
        <v>-0.00373247999959858</v>
      </c>
    </row>
    <row r="461" customFormat="false" ht="15" hidden="false" customHeight="false" outlineLevel="0" collapsed="false">
      <c r="A461" s="4" t="s">
        <v>470</v>
      </c>
      <c r="B461" s="4" t="n">
        <v>1</v>
      </c>
      <c r="C461" s="5" t="n">
        <v>1211033.73</v>
      </c>
      <c r="D461" s="5" t="n">
        <v>1251465.08</v>
      </c>
      <c r="E461" s="6" t="n">
        <v>0.023</v>
      </c>
      <c r="F461" s="7" t="n">
        <v>0.3503</v>
      </c>
      <c r="G461" s="8" t="n">
        <f aca="false">MIN(75, MAX(25, F461*100))</f>
        <v>35.03</v>
      </c>
      <c r="H461" s="9" t="n">
        <f aca="false">E461*G461*D461/100</f>
        <v>10082.929003052</v>
      </c>
      <c r="I461" s="9" t="n">
        <f aca="false">E461*G461*D461/100</f>
        <v>10082.929003052</v>
      </c>
      <c r="J461" s="9" t="n">
        <f aca="false">IF(B461=1, H461, I461)</f>
        <v>10082.929003052</v>
      </c>
      <c r="K461" s="5" t="n">
        <v>10082.93</v>
      </c>
      <c r="L461" s="9" t="n">
        <f aca="false">J461-K461</f>
        <v>-0.00099694799973804</v>
      </c>
    </row>
    <row r="462" customFormat="false" ht="15" hidden="false" customHeight="false" outlineLevel="0" collapsed="false">
      <c r="A462" s="4" t="s">
        <v>471</v>
      </c>
      <c r="B462" s="4" t="n">
        <v>1</v>
      </c>
      <c r="C462" s="5" t="n">
        <v>325885.24</v>
      </c>
      <c r="D462" s="5" t="n">
        <v>336272.88</v>
      </c>
      <c r="E462" s="6" t="n">
        <v>0.0146</v>
      </c>
      <c r="F462" s="7" t="n">
        <v>0.4605</v>
      </c>
      <c r="G462" s="8" t="n">
        <f aca="false">MIN(75, MAX(25, F462*100))</f>
        <v>46.05</v>
      </c>
      <c r="H462" s="9" t="n">
        <f aca="false">E462*G462*D462/100</f>
        <v>2260.863454104</v>
      </c>
      <c r="I462" s="9" t="n">
        <f aca="false">E462*G462*D462/100</f>
        <v>2260.863454104</v>
      </c>
      <c r="J462" s="9" t="n">
        <f aca="false">IF(B462=1, H462, I462)</f>
        <v>2260.863454104</v>
      </c>
      <c r="K462" s="5" t="n">
        <v>2260.86</v>
      </c>
      <c r="L462" s="9" t="n">
        <f aca="false">J462-K462</f>
        <v>0.00345410400041146</v>
      </c>
    </row>
    <row r="463" customFormat="false" ht="15" hidden="false" customHeight="false" outlineLevel="0" collapsed="false">
      <c r="A463" s="4" t="s">
        <v>472</v>
      </c>
      <c r="B463" s="4" t="n">
        <v>1</v>
      </c>
      <c r="C463" s="5" t="n">
        <v>646512.44</v>
      </c>
      <c r="D463" s="5" t="n">
        <v>676809.36</v>
      </c>
      <c r="E463" s="6" t="n">
        <v>0.0164</v>
      </c>
      <c r="F463" s="7" t="n">
        <v>0.4196</v>
      </c>
      <c r="G463" s="8" t="n">
        <f aca="false">MIN(75, MAX(25, F463*100))</f>
        <v>41.96</v>
      </c>
      <c r="H463" s="9" t="n">
        <f aca="false">E463*G463*D463/100</f>
        <v>4657.4230022784</v>
      </c>
      <c r="I463" s="9" t="n">
        <f aca="false">E463*G463*D463/100</f>
        <v>4657.4230022784</v>
      </c>
      <c r="J463" s="9" t="n">
        <f aca="false">IF(B463=1, H463, I463)</f>
        <v>4657.4230022784</v>
      </c>
      <c r="K463" s="5" t="n">
        <v>4657.42</v>
      </c>
      <c r="L463" s="9" t="n">
        <f aca="false">J463-K463</f>
        <v>0.00300227839943545</v>
      </c>
    </row>
    <row r="464" customFormat="false" ht="15" hidden="false" customHeight="false" outlineLevel="0" collapsed="false">
      <c r="A464" s="4" t="s">
        <v>473</v>
      </c>
      <c r="B464" s="4" t="n">
        <v>3</v>
      </c>
      <c r="C464" s="5" t="n">
        <v>285162.07</v>
      </c>
      <c r="D464" s="5" t="n">
        <v>295513.26</v>
      </c>
      <c r="E464" s="6" t="n">
        <v>0.7516</v>
      </c>
      <c r="F464" s="7" t="n">
        <v>0.5278</v>
      </c>
      <c r="G464" s="8" t="n">
        <f aca="false">MIN(75, MAX(25, F464*100))</f>
        <v>52.78</v>
      </c>
      <c r="H464" s="9" t="n">
        <f aca="false">E464*G464*D464/100</f>
        <v>117228.479008805</v>
      </c>
      <c r="I464" s="9" t="n">
        <f aca="false">E464*G464*D464/100</f>
        <v>117228.479008805</v>
      </c>
      <c r="J464" s="9" t="n">
        <f aca="false">IF(B464=1, H464, I464)</f>
        <v>117228.479008805</v>
      </c>
      <c r="K464" s="5" t="n">
        <v>117228.48</v>
      </c>
      <c r="L464" s="9" t="n">
        <f aca="false">J464-K464</f>
        <v>-0.000991195178357884</v>
      </c>
    </row>
    <row r="465" customFormat="false" ht="15" hidden="false" customHeight="false" outlineLevel="0" collapsed="false">
      <c r="A465" s="4" t="s">
        <v>474</v>
      </c>
      <c r="B465" s="4" t="n">
        <v>2</v>
      </c>
      <c r="C465" s="5" t="n">
        <v>100641.4</v>
      </c>
      <c r="D465" s="5" t="n">
        <v>104337.7</v>
      </c>
      <c r="E465" s="6" t="n">
        <v>0.0964</v>
      </c>
      <c r="F465" s="7" t="n">
        <v>0.5138</v>
      </c>
      <c r="G465" s="8" t="n">
        <f aca="false">MIN(75, MAX(25, F465*100))</f>
        <v>51.38</v>
      </c>
      <c r="H465" s="9" t="n">
        <f aca="false">E465*G465*D465/100</f>
        <v>5167.879669064</v>
      </c>
      <c r="I465" s="9" t="n">
        <f aca="false">E465*G465*D465/100</f>
        <v>5167.879669064</v>
      </c>
      <c r="J465" s="9" t="n">
        <f aca="false">IF(B465=1, H465, I465)</f>
        <v>5167.879669064</v>
      </c>
      <c r="K465" s="5" t="n">
        <v>5167.88</v>
      </c>
      <c r="L465" s="9" t="n">
        <f aca="false">J465-K465</f>
        <v>-0.000330935999954818</v>
      </c>
    </row>
    <row r="466" customFormat="false" ht="15" hidden="false" customHeight="false" outlineLevel="0" collapsed="false">
      <c r="A466" s="4" t="s">
        <v>475</v>
      </c>
      <c r="B466" s="4" t="n">
        <v>1</v>
      </c>
      <c r="C466" s="5" t="n">
        <v>356776.7</v>
      </c>
      <c r="D466" s="5" t="n">
        <v>370415.13</v>
      </c>
      <c r="E466" s="6" t="n">
        <v>0.0243</v>
      </c>
      <c r="F466" s="7" t="n">
        <v>0.3546</v>
      </c>
      <c r="G466" s="8" t="n">
        <f aca="false">MIN(75, MAX(25, F466*100))</f>
        <v>35.46</v>
      </c>
      <c r="H466" s="9" t="n">
        <f aca="false">E466*G466*D466/100</f>
        <v>3191.7856838814</v>
      </c>
      <c r="I466" s="9" t="n">
        <f aca="false">E466*G466*D466/100</f>
        <v>3191.7856838814</v>
      </c>
      <c r="J466" s="9" t="n">
        <f aca="false">IF(B466=1, H466, I466)</f>
        <v>3191.7856838814</v>
      </c>
      <c r="K466" s="5" t="n">
        <v>3191.79</v>
      </c>
      <c r="L466" s="9" t="n">
        <f aca="false">J466-K466</f>
        <v>-0.00431611859994518</v>
      </c>
    </row>
    <row r="467" customFormat="false" ht="15" hidden="false" customHeight="false" outlineLevel="0" collapsed="false">
      <c r="A467" s="4" t="s">
        <v>476</v>
      </c>
      <c r="B467" s="4" t="n">
        <v>1</v>
      </c>
      <c r="C467" s="5" t="n">
        <v>278585.82</v>
      </c>
      <c r="D467" s="5" t="n">
        <v>282608.66</v>
      </c>
      <c r="E467" s="6" t="n">
        <v>0.0192</v>
      </c>
      <c r="F467" s="7" t="n">
        <v>0.5327</v>
      </c>
      <c r="G467" s="8" t="n">
        <f aca="false">MIN(75, MAX(25, F467*100))</f>
        <v>53.27</v>
      </c>
      <c r="H467" s="9" t="n">
        <f aca="false">E467*G467*D467/100</f>
        <v>2890.4761570944</v>
      </c>
      <c r="I467" s="9" t="n">
        <f aca="false">E467*G467*D467/100</f>
        <v>2890.4761570944</v>
      </c>
      <c r="J467" s="9" t="n">
        <f aca="false">IF(B467=1, H467, I467)</f>
        <v>2890.4761570944</v>
      </c>
      <c r="K467" s="5" t="n">
        <v>2890.48</v>
      </c>
      <c r="L467" s="9" t="n">
        <f aca="false">J467-K467</f>
        <v>-0.00384290560032241</v>
      </c>
    </row>
    <row r="468" customFormat="false" ht="15" hidden="false" customHeight="false" outlineLevel="0" collapsed="false">
      <c r="A468" s="4" t="s">
        <v>477</v>
      </c>
      <c r="B468" s="4" t="n">
        <v>1</v>
      </c>
      <c r="C468" s="5" t="n">
        <v>267832.22</v>
      </c>
      <c r="D468" s="5" t="n">
        <v>275116.84</v>
      </c>
      <c r="E468" s="6" t="n">
        <v>0.0251</v>
      </c>
      <c r="F468" s="7" t="n">
        <v>0.4206</v>
      </c>
      <c r="G468" s="8" t="n">
        <f aca="false">MIN(75, MAX(25, F468*100))</f>
        <v>42.06</v>
      </c>
      <c r="H468" s="9" t="n">
        <f aca="false">E468*G468*D468/100</f>
        <v>2904.4249868904</v>
      </c>
      <c r="I468" s="9" t="n">
        <f aca="false">E468*G468*D468/100</f>
        <v>2904.4249868904</v>
      </c>
      <c r="J468" s="9" t="n">
        <f aca="false">IF(B468=1, H468, I468)</f>
        <v>2904.4249868904</v>
      </c>
      <c r="K468" s="5" t="n">
        <v>2904.42</v>
      </c>
      <c r="L468" s="9" t="n">
        <f aca="false">J468-K468</f>
        <v>0.00498689039932287</v>
      </c>
    </row>
    <row r="469" customFormat="false" ht="15" hidden="false" customHeight="false" outlineLevel="0" collapsed="false">
      <c r="A469" s="4" t="s">
        <v>478</v>
      </c>
      <c r="B469" s="4" t="n">
        <v>1</v>
      </c>
      <c r="C469" s="5" t="n">
        <v>673132.05</v>
      </c>
      <c r="D469" s="5" t="n">
        <v>696071.14</v>
      </c>
      <c r="E469" s="6" t="n">
        <v>0.0235</v>
      </c>
      <c r="F469" s="7" t="n">
        <v>0.5096</v>
      </c>
      <c r="G469" s="8" t="n">
        <f aca="false">MIN(75, MAX(25, F469*100))</f>
        <v>50.96</v>
      </c>
      <c r="H469" s="9" t="n">
        <f aca="false">E469*G469*D469/100</f>
        <v>8335.869544184</v>
      </c>
      <c r="I469" s="9" t="n">
        <f aca="false">E469*G469*D469/100</f>
        <v>8335.869544184</v>
      </c>
      <c r="J469" s="9" t="n">
        <f aca="false">IF(B469=1, H469, I469)</f>
        <v>8335.869544184</v>
      </c>
      <c r="K469" s="5" t="n">
        <v>8335.87</v>
      </c>
      <c r="L469" s="9" t="n">
        <f aca="false">J469-K469</f>
        <v>-0.0004558159980661</v>
      </c>
    </row>
    <row r="470" customFormat="false" ht="15" hidden="false" customHeight="false" outlineLevel="0" collapsed="false">
      <c r="A470" s="4" t="s">
        <v>479</v>
      </c>
      <c r="B470" s="4" t="n">
        <v>1</v>
      </c>
      <c r="C470" s="5" t="n">
        <v>722780.45</v>
      </c>
      <c r="D470" s="5" t="n">
        <v>757171.78</v>
      </c>
      <c r="E470" s="6" t="n">
        <v>0.0162</v>
      </c>
      <c r="F470" s="7" t="n">
        <v>0.424</v>
      </c>
      <c r="G470" s="8" t="n">
        <f aca="false">MIN(75, MAX(25, F470*100))</f>
        <v>42.4</v>
      </c>
      <c r="H470" s="9" t="n">
        <f aca="false">E470*G470*D470/100</f>
        <v>5200.861522464</v>
      </c>
      <c r="I470" s="9" t="n">
        <f aca="false">E470*G470*D470/100</f>
        <v>5200.861522464</v>
      </c>
      <c r="J470" s="9" t="n">
        <f aca="false">IF(B470=1, H470, I470)</f>
        <v>5200.861522464</v>
      </c>
      <c r="K470" s="5" t="n">
        <v>5200.86</v>
      </c>
      <c r="L470" s="9" t="n">
        <f aca="false">J470-K470</f>
        <v>0.00152246400011791</v>
      </c>
    </row>
    <row r="471" customFormat="false" ht="15" hidden="false" customHeight="false" outlineLevel="0" collapsed="false">
      <c r="A471" s="4" t="s">
        <v>480</v>
      </c>
      <c r="B471" s="4" t="n">
        <v>3</v>
      </c>
      <c r="C471" s="5" t="n">
        <v>467181.73</v>
      </c>
      <c r="D471" s="5" t="n">
        <v>475726.58</v>
      </c>
      <c r="E471" s="6" t="n">
        <v>0.8806</v>
      </c>
      <c r="F471" s="7" t="n">
        <v>0.4674</v>
      </c>
      <c r="G471" s="8" t="n">
        <f aca="false">MIN(75, MAX(25, F471*100))</f>
        <v>46.74</v>
      </c>
      <c r="H471" s="9" t="n">
        <f aca="false">E471*G471*D471/100</f>
        <v>195805.463835055</v>
      </c>
      <c r="I471" s="9" t="n">
        <f aca="false">E471*G471*D471/100</f>
        <v>195805.463835055</v>
      </c>
      <c r="J471" s="9" t="n">
        <f aca="false">IF(B471=1, H471, I471)</f>
        <v>195805.463835055</v>
      </c>
      <c r="K471" s="5" t="n">
        <v>195805.46</v>
      </c>
      <c r="L471" s="9" t="n">
        <f aca="false">J471-K471</f>
        <v>0.00383505519130267</v>
      </c>
    </row>
    <row r="472" customFormat="false" ht="15" hidden="false" customHeight="false" outlineLevel="0" collapsed="false">
      <c r="A472" s="4" t="s">
        <v>481</v>
      </c>
      <c r="B472" s="4" t="n">
        <v>1</v>
      </c>
      <c r="C472" s="5" t="n">
        <v>1870278.49</v>
      </c>
      <c r="D472" s="5" t="n">
        <v>1900693.52</v>
      </c>
      <c r="E472" s="6" t="n">
        <v>0.0165</v>
      </c>
      <c r="F472" s="7" t="n">
        <v>0.4423</v>
      </c>
      <c r="G472" s="8" t="n">
        <f aca="false">MIN(75, MAX(25, F472*100))</f>
        <v>44.23</v>
      </c>
      <c r="H472" s="9" t="n">
        <f aca="false">E472*G472*D472/100</f>
        <v>13871.166274284</v>
      </c>
      <c r="I472" s="9" t="n">
        <f aca="false">E472*G472*D472/100</f>
        <v>13871.166274284</v>
      </c>
      <c r="J472" s="9" t="n">
        <f aca="false">IF(B472=1, H472, I472)</f>
        <v>13871.166274284</v>
      </c>
      <c r="K472" s="5" t="n">
        <v>13871.17</v>
      </c>
      <c r="L472" s="9" t="n">
        <f aca="false">J472-K472</f>
        <v>-0.00372571599837102</v>
      </c>
    </row>
    <row r="473" customFormat="false" ht="15" hidden="false" customHeight="false" outlineLevel="0" collapsed="false">
      <c r="A473" s="4" t="s">
        <v>482</v>
      </c>
      <c r="B473" s="4" t="n">
        <v>1</v>
      </c>
      <c r="C473" s="5" t="n">
        <v>1035831.18</v>
      </c>
      <c r="D473" s="5" t="n">
        <v>1079072.58</v>
      </c>
      <c r="E473" s="6" t="n">
        <v>0.0207</v>
      </c>
      <c r="F473" s="7" t="n">
        <v>0.5315</v>
      </c>
      <c r="G473" s="8" t="n">
        <f aca="false">MIN(75, MAX(25, F473*100))</f>
        <v>53.15</v>
      </c>
      <c r="H473" s="9" t="n">
        <f aca="false">E473*G473*D473/100</f>
        <v>11872.010478789</v>
      </c>
      <c r="I473" s="9" t="n">
        <f aca="false">E473*G473*D473/100</f>
        <v>11872.010478789</v>
      </c>
      <c r="J473" s="9" t="n">
        <f aca="false">IF(B473=1, H473, I473)</f>
        <v>11872.010478789</v>
      </c>
      <c r="K473" s="5" t="n">
        <v>11872.01</v>
      </c>
      <c r="L473" s="9" t="n">
        <f aca="false">J473-K473</f>
        <v>0.000478788997497759</v>
      </c>
    </row>
    <row r="474" customFormat="false" ht="15" hidden="false" customHeight="false" outlineLevel="0" collapsed="false">
      <c r="A474" s="4" t="s">
        <v>483</v>
      </c>
      <c r="B474" s="4" t="n">
        <v>1</v>
      </c>
      <c r="C474" s="5" t="n">
        <v>1535654.15</v>
      </c>
      <c r="D474" s="5" t="n">
        <v>1580827.05</v>
      </c>
      <c r="E474" s="6" t="n">
        <v>0.0205</v>
      </c>
      <c r="F474" s="7" t="n">
        <v>0.4519</v>
      </c>
      <c r="G474" s="8" t="n">
        <f aca="false">MIN(75, MAX(25, F474*100))</f>
        <v>45.19</v>
      </c>
      <c r="H474" s="9" t="n">
        <f aca="false">E474*G474*D474/100</f>
        <v>14644.7027498475</v>
      </c>
      <c r="I474" s="9" t="n">
        <f aca="false">E474*G474*D474/100</f>
        <v>14644.7027498475</v>
      </c>
      <c r="J474" s="9" t="n">
        <f aca="false">IF(B474=1, H474, I474)</f>
        <v>14644.7027498475</v>
      </c>
      <c r="K474" s="5" t="n">
        <v>14644.7</v>
      </c>
      <c r="L474" s="9" t="n">
        <f aca="false">J474-K474</f>
        <v>0.00274984750285512</v>
      </c>
    </row>
    <row r="475" customFormat="false" ht="15" hidden="false" customHeight="false" outlineLevel="0" collapsed="false">
      <c r="A475" s="4" t="s">
        <v>484</v>
      </c>
      <c r="B475" s="4" t="n">
        <v>1</v>
      </c>
      <c r="C475" s="5" t="n">
        <v>311165.14</v>
      </c>
      <c r="D475" s="5" t="n">
        <v>318641.34</v>
      </c>
      <c r="E475" s="6" t="n">
        <v>0.0165</v>
      </c>
      <c r="F475" s="7" t="n">
        <v>0.4472</v>
      </c>
      <c r="G475" s="8" t="n">
        <f aca="false">MIN(75, MAX(25, F475*100))</f>
        <v>44.72</v>
      </c>
      <c r="H475" s="9" t="n">
        <f aca="false">E475*G475*D475/100</f>
        <v>2351.190719592</v>
      </c>
      <c r="I475" s="9" t="n">
        <f aca="false">E475*G475*D475/100</f>
        <v>2351.190719592</v>
      </c>
      <c r="J475" s="9" t="n">
        <f aca="false">IF(B475=1, H475, I475)</f>
        <v>2351.190719592</v>
      </c>
      <c r="K475" s="5" t="n">
        <v>2351.19</v>
      </c>
      <c r="L475" s="9" t="n">
        <f aca="false">J475-K475</f>
        <v>0.000719592000223202</v>
      </c>
    </row>
    <row r="476" customFormat="false" ht="15" hidden="false" customHeight="false" outlineLevel="0" collapsed="false">
      <c r="A476" s="4" t="s">
        <v>485</v>
      </c>
      <c r="B476" s="4" t="n">
        <v>1</v>
      </c>
      <c r="C476" s="5" t="n">
        <v>681386.28</v>
      </c>
      <c r="D476" s="5" t="n">
        <v>699300.87</v>
      </c>
      <c r="E476" s="6" t="n">
        <v>0.0165</v>
      </c>
      <c r="F476" s="7" t="n">
        <v>0.6376</v>
      </c>
      <c r="G476" s="8" t="n">
        <f aca="false">MIN(75, MAX(25, F476*100))</f>
        <v>63.76</v>
      </c>
      <c r="H476" s="9" t="n">
        <f aca="false">E476*G476*D476/100</f>
        <v>7356.924872748</v>
      </c>
      <c r="I476" s="9" t="n">
        <f aca="false">E476*G476*D476/100</f>
        <v>7356.924872748</v>
      </c>
      <c r="J476" s="9" t="n">
        <f aca="false">IF(B476=1, H476, I476)</f>
        <v>7356.924872748</v>
      </c>
      <c r="K476" s="5" t="n">
        <v>7356.92</v>
      </c>
      <c r="L476" s="9" t="n">
        <f aca="false">J476-K476</f>
        <v>0.00487274799797888</v>
      </c>
    </row>
    <row r="477" customFormat="false" ht="15" hidden="false" customHeight="false" outlineLevel="0" collapsed="false">
      <c r="A477" s="4" t="s">
        <v>486</v>
      </c>
      <c r="B477" s="4" t="n">
        <v>1</v>
      </c>
      <c r="C477" s="5" t="n">
        <v>618052.77</v>
      </c>
      <c r="D477" s="5" t="n">
        <v>628871.4</v>
      </c>
      <c r="E477" s="6" t="n">
        <v>0.0161</v>
      </c>
      <c r="F477" s="7" t="n">
        <v>0.4042</v>
      </c>
      <c r="G477" s="8" t="n">
        <f aca="false">MIN(75, MAX(25, F477*100))</f>
        <v>40.42</v>
      </c>
      <c r="H477" s="9" t="n">
        <f aca="false">E477*G477*D477/100</f>
        <v>4092.456100068</v>
      </c>
      <c r="I477" s="9" t="n">
        <f aca="false">E477*G477*D477/100</f>
        <v>4092.456100068</v>
      </c>
      <c r="J477" s="9" t="n">
        <f aca="false">IF(B477=1, H477, I477)</f>
        <v>4092.456100068</v>
      </c>
      <c r="K477" s="5" t="n">
        <v>4092.46</v>
      </c>
      <c r="L477" s="9" t="n">
        <f aca="false">J477-K477</f>
        <v>-0.00389993199951277</v>
      </c>
    </row>
    <row r="478" customFormat="false" ht="15" hidden="false" customHeight="false" outlineLevel="0" collapsed="false">
      <c r="A478" s="4" t="s">
        <v>487</v>
      </c>
      <c r="B478" s="4" t="n">
        <v>1</v>
      </c>
      <c r="C478" s="5" t="n">
        <v>539782.33</v>
      </c>
      <c r="D478" s="5" t="n">
        <v>555345.55</v>
      </c>
      <c r="E478" s="6" t="n">
        <v>0.0179</v>
      </c>
      <c r="F478" s="7" t="n">
        <v>0.4018</v>
      </c>
      <c r="G478" s="8" t="n">
        <f aca="false">MIN(75, MAX(25, F478*100))</f>
        <v>40.18</v>
      </c>
      <c r="H478" s="9" t="n">
        <f aca="false">E478*G478*D478/100</f>
        <v>3994.167371621</v>
      </c>
      <c r="I478" s="9" t="n">
        <f aca="false">E478*G478*D478/100</f>
        <v>3994.167371621</v>
      </c>
      <c r="J478" s="9" t="n">
        <f aca="false">IF(B478=1, H478, I478)</f>
        <v>3994.167371621</v>
      </c>
      <c r="K478" s="5" t="n">
        <v>3994.17</v>
      </c>
      <c r="L478" s="9" t="n">
        <f aca="false">J478-K478</f>
        <v>-0.0026283790002708</v>
      </c>
    </row>
    <row r="479" customFormat="false" ht="15" hidden="false" customHeight="false" outlineLevel="0" collapsed="false">
      <c r="A479" s="4" t="s">
        <v>488</v>
      </c>
      <c r="B479" s="4" t="n">
        <v>1</v>
      </c>
      <c r="C479" s="5" t="n">
        <v>550888.93</v>
      </c>
      <c r="D479" s="5" t="n">
        <v>560050.88</v>
      </c>
      <c r="E479" s="6" t="n">
        <v>0.017</v>
      </c>
      <c r="F479" s="7" t="n">
        <v>0.3559</v>
      </c>
      <c r="G479" s="8" t="n">
        <f aca="false">MIN(75, MAX(25, F479*100))</f>
        <v>35.59</v>
      </c>
      <c r="H479" s="9" t="n">
        <f aca="false">E479*G479*D479/100</f>
        <v>3388.475839264</v>
      </c>
      <c r="I479" s="9" t="n">
        <f aca="false">E479*G479*D479/100</f>
        <v>3388.475839264</v>
      </c>
      <c r="J479" s="9" t="n">
        <f aca="false">IF(B479=1, H479, I479)</f>
        <v>3388.475839264</v>
      </c>
      <c r="K479" s="5" t="n">
        <v>3388.48</v>
      </c>
      <c r="L479" s="9" t="n">
        <f aca="false">J479-K479</f>
        <v>-0.00416073599990341</v>
      </c>
    </row>
    <row r="480" customFormat="false" ht="15" hidden="false" customHeight="false" outlineLevel="0" collapsed="false">
      <c r="A480" s="4" t="s">
        <v>489</v>
      </c>
      <c r="B480" s="4" t="n">
        <v>1</v>
      </c>
      <c r="C480" s="5" t="n">
        <v>395297.32</v>
      </c>
      <c r="D480" s="5" t="n">
        <v>412757.04</v>
      </c>
      <c r="E480" s="6" t="n">
        <v>0.0206</v>
      </c>
      <c r="F480" s="7" t="n">
        <v>0.402</v>
      </c>
      <c r="G480" s="8" t="n">
        <f aca="false">MIN(75, MAX(25, F480*100))</f>
        <v>40.2</v>
      </c>
      <c r="H480" s="9" t="n">
        <f aca="false">E480*G480*D480/100</f>
        <v>3418.123599648</v>
      </c>
      <c r="I480" s="9" t="n">
        <f aca="false">E480*G480*D480/100</f>
        <v>3418.123599648</v>
      </c>
      <c r="J480" s="9" t="n">
        <f aca="false">IF(B480=1, H480, I480)</f>
        <v>3418.123599648</v>
      </c>
      <c r="K480" s="5" t="n">
        <v>3418.12</v>
      </c>
      <c r="L480" s="9" t="n">
        <f aca="false">J480-K480</f>
        <v>0.00359964800009038</v>
      </c>
    </row>
    <row r="481" customFormat="false" ht="15" hidden="false" customHeight="false" outlineLevel="0" collapsed="false">
      <c r="A481" s="4" t="s">
        <v>490</v>
      </c>
      <c r="B481" s="4" t="n">
        <v>1</v>
      </c>
      <c r="C481" s="5" t="n">
        <v>1043249.83</v>
      </c>
      <c r="D481" s="5" t="n">
        <v>1086815.11</v>
      </c>
      <c r="E481" s="6" t="n">
        <v>0.0153</v>
      </c>
      <c r="F481" s="7" t="n">
        <v>0.3699</v>
      </c>
      <c r="G481" s="8" t="n">
        <f aca="false">MIN(75, MAX(25, F481*100))</f>
        <v>36.99</v>
      </c>
      <c r="H481" s="9" t="n">
        <f aca="false">E481*G481*D481/100</f>
        <v>6150.7975105917</v>
      </c>
      <c r="I481" s="9" t="n">
        <f aca="false">E481*G481*D481/100</f>
        <v>6150.7975105917</v>
      </c>
      <c r="J481" s="9" t="n">
        <f aca="false">IF(B481=1, H481, I481)</f>
        <v>6150.7975105917</v>
      </c>
      <c r="K481" s="5" t="n">
        <v>6150.8</v>
      </c>
      <c r="L481" s="9" t="n">
        <f aca="false">J481-K481</f>
        <v>-0.00248940829987987</v>
      </c>
    </row>
    <row r="482" customFormat="false" ht="15" hidden="false" customHeight="false" outlineLevel="0" collapsed="false">
      <c r="A482" s="4" t="s">
        <v>491</v>
      </c>
      <c r="B482" s="4" t="n">
        <v>3</v>
      </c>
      <c r="C482" s="5" t="n">
        <v>34241.46</v>
      </c>
      <c r="D482" s="5" t="n">
        <v>35725.37</v>
      </c>
      <c r="E482" s="6" t="n">
        <v>0.6539</v>
      </c>
      <c r="F482" s="7" t="n">
        <v>0.3972</v>
      </c>
      <c r="G482" s="8" t="n">
        <f aca="false">MIN(75, MAX(25, F482*100))</f>
        <v>39.72</v>
      </c>
      <c r="H482" s="9" t="n">
        <f aca="false">E482*G482*D482/100</f>
        <v>9278.9174827596</v>
      </c>
      <c r="I482" s="9" t="n">
        <f aca="false">E482*G482*D482/100</f>
        <v>9278.9174827596</v>
      </c>
      <c r="J482" s="9" t="n">
        <f aca="false">IF(B482=1, H482, I482)</f>
        <v>9278.9174827596</v>
      </c>
      <c r="K482" s="5" t="n">
        <v>9278.92</v>
      </c>
      <c r="L482" s="9" t="n">
        <f aca="false">J482-K482</f>
        <v>-0.00251724039844703</v>
      </c>
    </row>
    <row r="483" customFormat="false" ht="15" hidden="false" customHeight="false" outlineLevel="0" collapsed="false">
      <c r="A483" s="4" t="s">
        <v>492</v>
      </c>
      <c r="B483" s="4" t="n">
        <v>1</v>
      </c>
      <c r="C483" s="5" t="n">
        <v>145023.37</v>
      </c>
      <c r="D483" s="5" t="n">
        <v>150565.87</v>
      </c>
      <c r="E483" s="6" t="n">
        <v>0.0233</v>
      </c>
      <c r="F483" s="7" t="n">
        <v>0.3811</v>
      </c>
      <c r="G483" s="8" t="n">
        <f aca="false">MIN(75, MAX(25, F483*100))</f>
        <v>38.11</v>
      </c>
      <c r="H483" s="9" t="n">
        <f aca="false">E483*G483*D483/100</f>
        <v>1336.9692162281</v>
      </c>
      <c r="I483" s="9" t="n">
        <f aca="false">E483*G483*D483/100</f>
        <v>1336.9692162281</v>
      </c>
      <c r="J483" s="9" t="n">
        <f aca="false">IF(B483=1, H483, I483)</f>
        <v>1336.9692162281</v>
      </c>
      <c r="K483" s="5" t="n">
        <v>1336.97</v>
      </c>
      <c r="L483" s="9" t="n">
        <f aca="false">J483-K483</f>
        <v>-0.000783771899932617</v>
      </c>
    </row>
    <row r="484" customFormat="false" ht="15" hidden="false" customHeight="false" outlineLevel="0" collapsed="false">
      <c r="A484" s="4" t="s">
        <v>493</v>
      </c>
      <c r="B484" s="4" t="n">
        <v>1</v>
      </c>
      <c r="C484" s="5" t="n">
        <v>530441.41</v>
      </c>
      <c r="D484" s="5" t="n">
        <v>536511.34</v>
      </c>
      <c r="E484" s="6" t="n">
        <v>0.0239</v>
      </c>
      <c r="F484" s="7" t="n">
        <v>0.5829</v>
      </c>
      <c r="G484" s="8" t="n">
        <f aca="false">MIN(75, MAX(25, F484*100))</f>
        <v>58.29</v>
      </c>
      <c r="H484" s="9" t="n">
        <f aca="false">E484*G484*D484/100</f>
        <v>7474.3057960554</v>
      </c>
      <c r="I484" s="9" t="n">
        <f aca="false">E484*G484*D484/100</f>
        <v>7474.3057960554</v>
      </c>
      <c r="J484" s="9" t="n">
        <f aca="false">IF(B484=1, H484, I484)</f>
        <v>7474.3057960554</v>
      </c>
      <c r="K484" s="5" t="n">
        <v>7474.31</v>
      </c>
      <c r="L484" s="9" t="n">
        <f aca="false">J484-K484</f>
        <v>-0.00420394459979434</v>
      </c>
    </row>
    <row r="485" customFormat="false" ht="15" hidden="false" customHeight="false" outlineLevel="0" collapsed="false">
      <c r="A485" s="4" t="s">
        <v>494</v>
      </c>
      <c r="B485" s="4" t="n">
        <v>1</v>
      </c>
      <c r="C485" s="5" t="n">
        <v>416904.46</v>
      </c>
      <c r="D485" s="5" t="n">
        <v>417370.98</v>
      </c>
      <c r="E485" s="6" t="n">
        <v>0.0192</v>
      </c>
      <c r="F485" s="7" t="n">
        <v>0.6086</v>
      </c>
      <c r="G485" s="8" t="n">
        <f aca="false">MIN(75, MAX(25, F485*100))</f>
        <v>60.86</v>
      </c>
      <c r="H485" s="9" t="n">
        <f aca="false">E485*G485*D485/100</f>
        <v>4877.0299858176</v>
      </c>
      <c r="I485" s="9" t="n">
        <f aca="false">E485*G485*D485/100</f>
        <v>4877.0299858176</v>
      </c>
      <c r="J485" s="9" t="n">
        <f aca="false">IF(B485=1, H485, I485)</f>
        <v>4877.0299858176</v>
      </c>
      <c r="K485" s="5" t="n">
        <v>4877.03</v>
      </c>
      <c r="L485" s="9" t="n">
        <f aca="false">J485-K485</f>
        <v>-1.41824002639623E-005</v>
      </c>
    </row>
    <row r="486" customFormat="false" ht="15" hidden="false" customHeight="false" outlineLevel="0" collapsed="false">
      <c r="A486" s="4" t="s">
        <v>495</v>
      </c>
      <c r="B486" s="4" t="n">
        <v>2</v>
      </c>
      <c r="C486" s="5" t="n">
        <v>221698.04</v>
      </c>
      <c r="D486" s="5" t="n">
        <v>223215.11</v>
      </c>
      <c r="E486" s="6" t="n">
        <v>0.1021</v>
      </c>
      <c r="F486" s="7" t="n">
        <v>0.6025</v>
      </c>
      <c r="G486" s="8" t="n">
        <f aca="false">MIN(75, MAX(25, F486*100))</f>
        <v>60.25</v>
      </c>
      <c r="H486" s="9" t="n">
        <f aca="false">E486*G486*D486/100</f>
        <v>13731.1332954275</v>
      </c>
      <c r="I486" s="9" t="n">
        <f aca="false">E486*G486*D486/100</f>
        <v>13731.1332954275</v>
      </c>
      <c r="J486" s="9" t="n">
        <f aca="false">IF(B486=1, H486, I486)</f>
        <v>13731.1332954275</v>
      </c>
      <c r="K486" s="5" t="n">
        <v>13731.13</v>
      </c>
      <c r="L486" s="9" t="n">
        <f aca="false">J486-K486</f>
        <v>0.00329542749932443</v>
      </c>
    </row>
    <row r="487" customFormat="false" ht="15" hidden="false" customHeight="false" outlineLevel="0" collapsed="false">
      <c r="A487" s="4" t="s">
        <v>496</v>
      </c>
      <c r="B487" s="4" t="n">
        <v>1</v>
      </c>
      <c r="C487" s="5" t="n">
        <v>415412.84</v>
      </c>
      <c r="D487" s="5" t="n">
        <v>425007.76</v>
      </c>
      <c r="E487" s="6" t="n">
        <v>0.0194</v>
      </c>
      <c r="F487" s="7" t="n">
        <v>0.424</v>
      </c>
      <c r="G487" s="8" t="n">
        <f aca="false">MIN(75, MAX(25, F487*100))</f>
        <v>42.4</v>
      </c>
      <c r="H487" s="9" t="n">
        <f aca="false">E487*G487*D487/100</f>
        <v>3495.943830656</v>
      </c>
      <c r="I487" s="9" t="n">
        <f aca="false">E487*G487*D487/100</f>
        <v>3495.943830656</v>
      </c>
      <c r="J487" s="9" t="n">
        <f aca="false">IF(B487=1, H487, I487)</f>
        <v>3495.943830656</v>
      </c>
      <c r="K487" s="5" t="n">
        <v>3495.94</v>
      </c>
      <c r="L487" s="9" t="n">
        <f aca="false">J487-K487</f>
        <v>0.003830655999991</v>
      </c>
    </row>
    <row r="488" customFormat="false" ht="15" hidden="false" customHeight="false" outlineLevel="0" collapsed="false">
      <c r="A488" s="4" t="s">
        <v>497</v>
      </c>
      <c r="B488" s="4" t="n">
        <v>1</v>
      </c>
      <c r="C488" s="5" t="n">
        <v>750535.98</v>
      </c>
      <c r="D488" s="5" t="n">
        <v>766928.02</v>
      </c>
      <c r="E488" s="6" t="n">
        <v>0.0241</v>
      </c>
      <c r="F488" s="7" t="n">
        <v>0.6169</v>
      </c>
      <c r="G488" s="8" t="n">
        <f aca="false">MIN(75, MAX(25, F488*100))</f>
        <v>61.69</v>
      </c>
      <c r="H488" s="9" t="n">
        <f aca="false">E488*G488*D488/100</f>
        <v>11402.1412824658</v>
      </c>
      <c r="I488" s="9" t="n">
        <f aca="false">E488*G488*D488/100</f>
        <v>11402.1412824658</v>
      </c>
      <c r="J488" s="9" t="n">
        <f aca="false">IF(B488=1, H488, I488)</f>
        <v>11402.1412824658</v>
      </c>
      <c r="K488" s="5" t="n">
        <v>11402.14</v>
      </c>
      <c r="L488" s="9" t="n">
        <f aca="false">J488-K488</f>
        <v>0.00128246580061386</v>
      </c>
    </row>
    <row r="489" customFormat="false" ht="15" hidden="false" customHeight="false" outlineLevel="0" collapsed="false">
      <c r="A489" s="4" t="s">
        <v>498</v>
      </c>
      <c r="B489" s="4" t="n">
        <v>1</v>
      </c>
      <c r="C489" s="5" t="n">
        <v>529511.25</v>
      </c>
      <c r="D489" s="5" t="n">
        <v>547189.24</v>
      </c>
      <c r="E489" s="6" t="n">
        <v>0.0209</v>
      </c>
      <c r="F489" s="7" t="n">
        <v>0.4445</v>
      </c>
      <c r="G489" s="8" t="n">
        <f aca="false">MIN(75, MAX(25, F489*100))</f>
        <v>44.45</v>
      </c>
      <c r="H489" s="9" t="n">
        <f aca="false">E489*G489*D489/100</f>
        <v>5083.415399062</v>
      </c>
      <c r="I489" s="9" t="n">
        <f aca="false">E489*G489*D489/100</f>
        <v>5083.415399062</v>
      </c>
      <c r="J489" s="9" t="n">
        <f aca="false">IF(B489=1, H489, I489)</f>
        <v>5083.415399062</v>
      </c>
      <c r="K489" s="5" t="n">
        <v>5083.42</v>
      </c>
      <c r="L489" s="9" t="n">
        <f aca="false">J489-K489</f>
        <v>-0.00460093800029426</v>
      </c>
    </row>
    <row r="490" customFormat="false" ht="15" hidden="false" customHeight="false" outlineLevel="0" collapsed="false">
      <c r="A490" s="4" t="s">
        <v>499</v>
      </c>
      <c r="B490" s="4" t="n">
        <v>1</v>
      </c>
      <c r="C490" s="5" t="n">
        <v>2209255.4</v>
      </c>
      <c r="D490" s="5" t="n">
        <v>2272331.62</v>
      </c>
      <c r="E490" s="6" t="n">
        <v>0.0254</v>
      </c>
      <c r="F490" s="7" t="n">
        <v>0.4955</v>
      </c>
      <c r="G490" s="8" t="n">
        <f aca="false">MIN(75, MAX(25, F490*100))</f>
        <v>49.55</v>
      </c>
      <c r="H490" s="9" t="n">
        <f aca="false">E490*G490*D490/100</f>
        <v>28598.884069834</v>
      </c>
      <c r="I490" s="9" t="n">
        <f aca="false">E490*G490*D490/100</f>
        <v>28598.884069834</v>
      </c>
      <c r="J490" s="9" t="n">
        <f aca="false">IF(B490=1, H490, I490)</f>
        <v>28598.884069834</v>
      </c>
      <c r="K490" s="5" t="n">
        <v>28598.88</v>
      </c>
      <c r="L490" s="9" t="n">
        <f aca="false">J490-K490</f>
        <v>0.00406983400171157</v>
      </c>
    </row>
    <row r="491" customFormat="false" ht="15" hidden="false" customHeight="false" outlineLevel="0" collapsed="false">
      <c r="A491" s="4" t="s">
        <v>500</v>
      </c>
      <c r="B491" s="4" t="n">
        <v>1</v>
      </c>
      <c r="C491" s="5" t="n">
        <v>642669.62</v>
      </c>
      <c r="D491" s="5" t="n">
        <v>662940.21</v>
      </c>
      <c r="E491" s="6" t="n">
        <v>0.0219</v>
      </c>
      <c r="F491" s="7" t="n">
        <v>0.5478</v>
      </c>
      <c r="G491" s="8" t="n">
        <f aca="false">MIN(75, MAX(25, F491*100))</f>
        <v>54.78</v>
      </c>
      <c r="H491" s="9" t="n">
        <f aca="false">E491*G491*D491/100</f>
        <v>7953.1743701322</v>
      </c>
      <c r="I491" s="9" t="n">
        <f aca="false">E491*G491*D491/100</f>
        <v>7953.1743701322</v>
      </c>
      <c r="J491" s="9" t="n">
        <f aca="false">IF(B491=1, H491, I491)</f>
        <v>7953.1743701322</v>
      </c>
      <c r="K491" s="5" t="n">
        <v>7953.17</v>
      </c>
      <c r="L491" s="9" t="n">
        <f aca="false">J491-K491</f>
        <v>0.00437013219925575</v>
      </c>
    </row>
    <row r="492" customFormat="false" ht="15" hidden="false" customHeight="false" outlineLevel="0" collapsed="false">
      <c r="A492" s="4" t="s">
        <v>501</v>
      </c>
      <c r="B492" s="4" t="n">
        <v>1</v>
      </c>
      <c r="C492" s="5" t="n">
        <v>277277.24</v>
      </c>
      <c r="D492" s="5" t="n">
        <v>290205.39</v>
      </c>
      <c r="E492" s="6" t="n">
        <v>0.0257</v>
      </c>
      <c r="F492" s="7" t="n">
        <v>0.4621</v>
      </c>
      <c r="G492" s="8" t="n">
        <f aca="false">MIN(75, MAX(25, F492*100))</f>
        <v>46.21</v>
      </c>
      <c r="H492" s="9" t="n">
        <f aca="false">E492*G492*D492/100</f>
        <v>3446.4705054783</v>
      </c>
      <c r="I492" s="9" t="n">
        <f aca="false">E492*G492*D492/100</f>
        <v>3446.4705054783</v>
      </c>
      <c r="J492" s="9" t="n">
        <f aca="false">IF(B492=1, H492, I492)</f>
        <v>3446.4705054783</v>
      </c>
      <c r="K492" s="5" t="n">
        <v>3446.47</v>
      </c>
      <c r="L492" s="9" t="n">
        <f aca="false">J492-K492</f>
        <v>0.000505478300055984</v>
      </c>
    </row>
    <row r="493" customFormat="false" ht="15" hidden="false" customHeight="false" outlineLevel="0" collapsed="false">
      <c r="A493" s="4" t="s">
        <v>502</v>
      </c>
      <c r="B493" s="4" t="n">
        <v>1</v>
      </c>
      <c r="C493" s="5" t="n">
        <v>156619.66</v>
      </c>
      <c r="D493" s="5" t="n">
        <v>157543.04</v>
      </c>
      <c r="E493" s="6" t="n">
        <v>0.0211</v>
      </c>
      <c r="F493" s="7" t="n">
        <v>0.4188</v>
      </c>
      <c r="G493" s="8" t="n">
        <f aca="false">MIN(75, MAX(25, F493*100))</f>
        <v>41.88</v>
      </c>
      <c r="H493" s="9" t="n">
        <f aca="false">E493*G493*D493/100</f>
        <v>1392.1574307072</v>
      </c>
      <c r="I493" s="9" t="n">
        <f aca="false">E493*G493*D493/100</f>
        <v>1392.1574307072</v>
      </c>
      <c r="J493" s="9" t="n">
        <f aca="false">IF(B493=1, H493, I493)</f>
        <v>1392.1574307072</v>
      </c>
      <c r="K493" s="5" t="n">
        <v>1392.16</v>
      </c>
      <c r="L493" s="9" t="n">
        <f aca="false">J493-K493</f>
        <v>-0.00256929279976248</v>
      </c>
    </row>
    <row r="494" customFormat="false" ht="15" hidden="false" customHeight="false" outlineLevel="0" collapsed="false">
      <c r="A494" s="4" t="s">
        <v>503</v>
      </c>
      <c r="B494" s="4" t="n">
        <v>1</v>
      </c>
      <c r="C494" s="5" t="n">
        <v>1883760.71</v>
      </c>
      <c r="D494" s="5" t="n">
        <v>1924196.41</v>
      </c>
      <c r="E494" s="6" t="n">
        <v>0.0226</v>
      </c>
      <c r="F494" s="7" t="n">
        <v>0.6307</v>
      </c>
      <c r="G494" s="8" t="n">
        <f aca="false">MIN(75, MAX(25, F494*100))</f>
        <v>63.07</v>
      </c>
      <c r="H494" s="9" t="n">
        <f aca="false">E494*G494*D494/100</f>
        <v>27427.1492727862</v>
      </c>
      <c r="I494" s="9" t="n">
        <f aca="false">E494*G494*D494/100</f>
        <v>27427.1492727862</v>
      </c>
      <c r="J494" s="9" t="n">
        <f aca="false">IF(B494=1, H494, I494)</f>
        <v>27427.1492727862</v>
      </c>
      <c r="K494" s="5" t="n">
        <v>27427.15</v>
      </c>
      <c r="L494" s="9" t="n">
        <f aca="false">J494-K494</f>
        <v>-0.00072721379910945</v>
      </c>
    </row>
    <row r="495" customFormat="false" ht="15" hidden="false" customHeight="false" outlineLevel="0" collapsed="false">
      <c r="A495" s="4" t="s">
        <v>504</v>
      </c>
      <c r="B495" s="4" t="n">
        <v>2</v>
      </c>
      <c r="C495" s="5" t="n">
        <v>303455.33</v>
      </c>
      <c r="D495" s="5" t="n">
        <v>305169.04</v>
      </c>
      <c r="E495" s="6" t="n">
        <v>0.0893</v>
      </c>
      <c r="F495" s="7" t="n">
        <v>0.6496</v>
      </c>
      <c r="G495" s="8" t="n">
        <f aca="false">MIN(75, MAX(25, F495*100))</f>
        <v>64.96</v>
      </c>
      <c r="H495" s="9" t="n">
        <f aca="false">E495*G495*D495/100</f>
        <v>17702.6362886912</v>
      </c>
      <c r="I495" s="9" t="n">
        <f aca="false">E495*G495*D495/100</f>
        <v>17702.6362886912</v>
      </c>
      <c r="J495" s="9" t="n">
        <f aca="false">IF(B495=1, H495, I495)</f>
        <v>17702.6362886912</v>
      </c>
      <c r="K495" s="5" t="n">
        <v>17702.64</v>
      </c>
      <c r="L495" s="9" t="n">
        <f aca="false">J495-K495</f>
        <v>-0.00371130880012061</v>
      </c>
    </row>
    <row r="496" customFormat="false" ht="15" hidden="false" customHeight="false" outlineLevel="0" collapsed="false">
      <c r="A496" s="4" t="s">
        <v>505</v>
      </c>
      <c r="B496" s="4" t="n">
        <v>2</v>
      </c>
      <c r="C496" s="5" t="n">
        <v>1095477.76</v>
      </c>
      <c r="D496" s="5" t="n">
        <v>1138623.04</v>
      </c>
      <c r="E496" s="6" t="n">
        <v>0.1342</v>
      </c>
      <c r="F496" s="7" t="n">
        <v>0.4321</v>
      </c>
      <c r="G496" s="8" t="n">
        <f aca="false">MIN(75, MAX(25, F496*100))</f>
        <v>43.21</v>
      </c>
      <c r="H496" s="9" t="n">
        <f aca="false">E496*G496*D496/100</f>
        <v>66026.2678913728</v>
      </c>
      <c r="I496" s="9" t="n">
        <f aca="false">E496*G496*D496/100</f>
        <v>66026.2678913728</v>
      </c>
      <c r="J496" s="9" t="n">
        <f aca="false">IF(B496=1, H496, I496)</f>
        <v>66026.2678913728</v>
      </c>
      <c r="K496" s="5" t="n">
        <v>66026.27</v>
      </c>
      <c r="L496" s="9" t="n">
        <f aca="false">J496-K496</f>
        <v>-0.00210862718813587</v>
      </c>
    </row>
    <row r="497" customFormat="false" ht="15" hidden="false" customHeight="false" outlineLevel="0" collapsed="false">
      <c r="A497" s="4" t="s">
        <v>506</v>
      </c>
      <c r="B497" s="4" t="n">
        <v>1</v>
      </c>
      <c r="C497" s="5" t="n">
        <v>0</v>
      </c>
      <c r="D497" s="5" t="n">
        <v>0</v>
      </c>
      <c r="E497" s="6" t="n">
        <v>0.0254</v>
      </c>
      <c r="F497" s="7" t="n">
        <v>0.5138</v>
      </c>
      <c r="G497" s="8" t="n">
        <f aca="false">MIN(75, MAX(25, F497*100))</f>
        <v>51.38</v>
      </c>
      <c r="H497" s="9" t="n">
        <f aca="false">E497*G497*D497/100</f>
        <v>0</v>
      </c>
      <c r="I497" s="9" t="n">
        <f aca="false">E497*G497*D497/100</f>
        <v>0</v>
      </c>
      <c r="J497" s="9" t="n">
        <f aca="false">IF(B497=1, H497, I497)</f>
        <v>0</v>
      </c>
      <c r="K497" s="5" t="n">
        <v>0</v>
      </c>
      <c r="L497" s="9" t="n">
        <f aca="false">J497-K497</f>
        <v>0</v>
      </c>
    </row>
    <row r="498" customFormat="false" ht="15" hidden="false" customHeight="false" outlineLevel="0" collapsed="false">
      <c r="A498" s="4" t="s">
        <v>507</v>
      </c>
      <c r="B498" s="4" t="n">
        <v>3</v>
      </c>
      <c r="C498" s="5" t="n">
        <v>1453102.25</v>
      </c>
      <c r="D498" s="5" t="n">
        <v>1507790.21</v>
      </c>
      <c r="E498" s="6" t="n">
        <v>0.7108</v>
      </c>
      <c r="F498" s="7" t="n">
        <v>0.5288</v>
      </c>
      <c r="G498" s="8" t="n">
        <f aca="false">MIN(75, MAX(25, F498*100))</f>
        <v>52.88</v>
      </c>
      <c r="H498" s="9" t="n">
        <f aca="false">E498*G498*D498/100</f>
        <v>566734.674334519</v>
      </c>
      <c r="I498" s="9" t="n">
        <f aca="false">E498*G498*D498/100</f>
        <v>566734.674334519</v>
      </c>
      <c r="J498" s="9" t="n">
        <f aca="false">IF(B498=1, H498, I498)</f>
        <v>566734.674334519</v>
      </c>
      <c r="K498" s="5" t="n">
        <v>566734.67</v>
      </c>
      <c r="L498" s="9" t="n">
        <f aca="false">J498-K498</f>
        <v>0.00433451845310628</v>
      </c>
    </row>
    <row r="499" customFormat="false" ht="15" hidden="false" customHeight="false" outlineLevel="0" collapsed="false">
      <c r="A499" s="4" t="s">
        <v>508</v>
      </c>
      <c r="B499" s="4" t="n">
        <v>1</v>
      </c>
      <c r="C499" s="5" t="n">
        <v>1203806.4</v>
      </c>
      <c r="D499" s="5" t="n">
        <v>1219584.14</v>
      </c>
      <c r="E499" s="6" t="n">
        <v>0.0146</v>
      </c>
      <c r="F499" s="7" t="n">
        <v>0.5868</v>
      </c>
      <c r="G499" s="8" t="n">
        <f aca="false">MIN(75, MAX(25, F499*100))</f>
        <v>58.68</v>
      </c>
      <c r="H499" s="9" t="n">
        <f aca="false">E499*G499*D499/100</f>
        <v>10448.5188109392</v>
      </c>
      <c r="I499" s="9" t="n">
        <f aca="false">E499*G499*D499/100</f>
        <v>10448.5188109392</v>
      </c>
      <c r="J499" s="9" t="n">
        <f aca="false">IF(B499=1, H499, I499)</f>
        <v>10448.5188109392</v>
      </c>
      <c r="K499" s="5" t="n">
        <v>10448.52</v>
      </c>
      <c r="L499" s="9" t="n">
        <f aca="false">J499-K499</f>
        <v>-0.00118906080024317</v>
      </c>
    </row>
    <row r="500" customFormat="false" ht="15" hidden="false" customHeight="false" outlineLevel="0" collapsed="false">
      <c r="A500" s="4" t="s">
        <v>509</v>
      </c>
      <c r="B500" s="4" t="n">
        <v>2</v>
      </c>
      <c r="C500" s="5" t="n">
        <v>1432720.87</v>
      </c>
      <c r="D500" s="5" t="n">
        <v>1482493.06</v>
      </c>
      <c r="E500" s="6" t="n">
        <v>0.1005</v>
      </c>
      <c r="F500" s="7" t="n">
        <v>0.3661</v>
      </c>
      <c r="G500" s="8" t="n">
        <f aca="false">MIN(75, MAX(25, F500*100))</f>
        <v>36.61</v>
      </c>
      <c r="H500" s="9" t="n">
        <f aca="false">E500*G500*D500/100</f>
        <v>54545.441281233</v>
      </c>
      <c r="I500" s="9" t="n">
        <f aca="false">E500*G500*D500/100</f>
        <v>54545.441281233</v>
      </c>
      <c r="J500" s="9" t="n">
        <f aca="false">IF(B500=1, H500, I500)</f>
        <v>54545.441281233</v>
      </c>
      <c r="K500" s="5" t="n">
        <v>54545.44</v>
      </c>
      <c r="L500" s="9" t="n">
        <f aca="false">J500-K500</f>
        <v>0.00128123300237348</v>
      </c>
    </row>
    <row r="501" customFormat="false" ht="15" hidden="false" customHeight="false" outlineLevel="0" collapsed="false">
      <c r="A501" s="4" t="s">
        <v>510</v>
      </c>
      <c r="B501" s="4" t="n">
        <v>1</v>
      </c>
      <c r="C501" s="5" t="n">
        <v>762384.06</v>
      </c>
      <c r="D501" s="5" t="n">
        <v>799816.3</v>
      </c>
      <c r="E501" s="6" t="n">
        <v>0.0153</v>
      </c>
      <c r="F501" s="7" t="n">
        <v>0.5266</v>
      </c>
      <c r="G501" s="8" t="n">
        <f aca="false">MIN(75, MAX(25, F501*100))</f>
        <v>52.66</v>
      </c>
      <c r="H501" s="9" t="n">
        <f aca="false">E501*G501*D501/100</f>
        <v>6444.103932774</v>
      </c>
      <c r="I501" s="9" t="n">
        <f aca="false">E501*G501*D501/100</f>
        <v>6444.103932774</v>
      </c>
      <c r="J501" s="9" t="n">
        <f aca="false">IF(B501=1, H501, I501)</f>
        <v>6444.103932774</v>
      </c>
      <c r="K501" s="5" t="n">
        <v>6444.1</v>
      </c>
      <c r="L501" s="9" t="n">
        <f aca="false">J501-K501</f>
        <v>0.00393277399871295</v>
      </c>
    </row>
    <row r="502" customFormat="false" ht="15" hidden="false" customHeight="false" outlineLevel="0" collapsed="false">
      <c r="A502" s="4" t="s">
        <v>511</v>
      </c>
      <c r="B502" s="4" t="n">
        <v>1</v>
      </c>
      <c r="C502" s="5" t="n">
        <v>683493.75</v>
      </c>
      <c r="D502" s="5" t="n">
        <v>699255.26</v>
      </c>
      <c r="E502" s="6" t="n">
        <v>0.0244</v>
      </c>
      <c r="F502" s="7" t="n">
        <v>0.5097</v>
      </c>
      <c r="G502" s="8" t="n">
        <f aca="false">MIN(75, MAX(25, F502*100))</f>
        <v>50.97</v>
      </c>
      <c r="H502" s="9" t="n">
        <f aca="false">E502*G502*D502/100</f>
        <v>8696.4139069368</v>
      </c>
      <c r="I502" s="9" t="n">
        <f aca="false">E502*G502*D502/100</f>
        <v>8696.4139069368</v>
      </c>
      <c r="J502" s="9" t="n">
        <f aca="false">IF(B502=1, H502, I502)</f>
        <v>8696.4139069368</v>
      </c>
      <c r="K502" s="5" t="n">
        <v>8696.41</v>
      </c>
      <c r="L502" s="9" t="n">
        <f aca="false">J502-K502</f>
        <v>0.00390693680128607</v>
      </c>
    </row>
    <row r="503" customFormat="false" ht="15" hidden="false" customHeight="false" outlineLevel="0" collapsed="false">
      <c r="A503" s="4" t="s">
        <v>512</v>
      </c>
      <c r="B503" s="4" t="n">
        <v>1</v>
      </c>
      <c r="C503" s="5" t="n">
        <v>41887.35</v>
      </c>
      <c r="D503" s="5" t="n">
        <v>43595.51</v>
      </c>
      <c r="E503" s="6" t="n">
        <v>0.0222</v>
      </c>
      <c r="F503" s="7" t="n">
        <v>0.5362</v>
      </c>
      <c r="G503" s="8" t="n">
        <f aca="false">MIN(75, MAX(25, F503*100))</f>
        <v>53.62</v>
      </c>
      <c r="H503" s="9" t="n">
        <f aca="false">E503*G503*D503/100</f>
        <v>518.9452566564</v>
      </c>
      <c r="I503" s="9" t="n">
        <f aca="false">E503*G503*D503/100</f>
        <v>518.9452566564</v>
      </c>
      <c r="J503" s="9" t="n">
        <f aca="false">IF(B503=1, H503, I503)</f>
        <v>518.9452566564</v>
      </c>
      <c r="K503" s="5" t="n">
        <v>518.95</v>
      </c>
      <c r="L503" s="9" t="n">
        <f aca="false">J503-K503</f>
        <v>-0.00474334360001194</v>
      </c>
    </row>
    <row r="504" customFormat="false" ht="15" hidden="false" customHeight="false" outlineLevel="0" collapsed="false">
      <c r="A504" s="4" t="s">
        <v>513</v>
      </c>
      <c r="B504" s="4" t="n">
        <v>1</v>
      </c>
      <c r="C504" s="5" t="n">
        <v>1433717.28</v>
      </c>
      <c r="D504" s="5" t="n">
        <v>1457447.03</v>
      </c>
      <c r="E504" s="6" t="n">
        <v>0.0172</v>
      </c>
      <c r="F504" s="7" t="n">
        <v>0.6181</v>
      </c>
      <c r="G504" s="8" t="n">
        <f aca="false">MIN(75, MAX(25, F504*100))</f>
        <v>61.81</v>
      </c>
      <c r="H504" s="9" t="n">
        <f aca="false">E504*G504*D504/100</f>
        <v>15494.5857589796</v>
      </c>
      <c r="I504" s="9" t="n">
        <f aca="false">E504*G504*D504/100</f>
        <v>15494.5857589796</v>
      </c>
      <c r="J504" s="9" t="n">
        <f aca="false">IF(B504=1, H504, I504)</f>
        <v>15494.5857589796</v>
      </c>
      <c r="K504" s="5" t="n">
        <v>15494.59</v>
      </c>
      <c r="L504" s="9" t="n">
        <f aca="false">J504-K504</f>
        <v>-0.00424102040051366</v>
      </c>
    </row>
    <row r="506" customFormat="false" ht="15" hidden="false" customHeight="false" outlineLevel="0" collapsed="false">
      <c r="A506" s="10" t="s">
        <v>514</v>
      </c>
      <c r="C506" s="11" t="n">
        <f aca="false">SUM(C5:C504)</f>
        <v>317785202.14</v>
      </c>
      <c r="D506" s="11" t="n">
        <f aca="false">SUM(D5:D504)</f>
        <v>326164171.9</v>
      </c>
      <c r="H506" s="11" t="n">
        <f aca="false">SUM(H5:H504)</f>
        <v>11662952.8549412</v>
      </c>
      <c r="I506" s="11" t="n">
        <f aca="false">SUM(I5:I504)</f>
        <v>11662952.8549412</v>
      </c>
      <c r="J506" s="11" t="n">
        <f aca="false">SUM(J5:J504)</f>
        <v>11662952.8549412</v>
      </c>
      <c r="K506" s="11" t="n">
        <f aca="false">SUM(K5:K504)</f>
        <v>11662952.9</v>
      </c>
      <c r="L506" s="11" t="n">
        <f aca="false">SUM(L5:L504)</f>
        <v>-0.0450587771748445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6"/>
    <col collapsed="false" customWidth="true" hidden="false" outlineLevel="0" max="5" min="3" style="0" width="60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515</v>
      </c>
    </row>
    <row r="2" customFormat="false" ht="15" hidden="false" customHeight="false" outlineLevel="0" collapsed="false">
      <c r="A2" s="2" t="s">
        <v>516</v>
      </c>
    </row>
    <row r="4" customFormat="false" ht="25.5" hidden="false" customHeight="true" outlineLevel="0" collapsed="false">
      <c r="A4" s="3" t="s">
        <v>517</v>
      </c>
      <c r="B4" s="3" t="s">
        <v>518</v>
      </c>
      <c r="C4" s="3" t="s">
        <v>519</v>
      </c>
      <c r="D4" s="3" t="s">
        <v>520</v>
      </c>
      <c r="E4" s="3" t="s">
        <v>521</v>
      </c>
      <c r="F4" s="3" t="s">
        <v>522</v>
      </c>
    </row>
    <row r="5" customFormat="false" ht="15" hidden="false" customHeight="false" outlineLevel="0" collapsed="false">
      <c r="A5" s="4" t="s">
        <v>523</v>
      </c>
      <c r="B5" s="12" t="n">
        <f aca="false">COUNTIF(1_Loan_Detail!B5:B504, 1)</f>
        <v>422</v>
      </c>
      <c r="C5" s="13" t="n">
        <f aca="false">SUMIF(1_Loan_Detail!B5:B504, 1, 1_Loan_Detail!C5:C504) / 10000000</f>
        <v>27.293266165</v>
      </c>
      <c r="D5" s="13" t="n">
        <f aca="false">SUMIF(1_Loan_Detail!B5:B504, 1, 1_Loan_Detail!D5:D504) / 10000000</f>
        <v>28.00892779</v>
      </c>
      <c r="E5" s="13" t="n">
        <f aca="false">SUMIF(1_Loan_Detail!B5:B504, 1, 1_Loan_Detail!J5:J504) / 10000000</f>
        <v>0.27920982410082</v>
      </c>
      <c r="F5" s="14" t="n">
        <f aca="false">IFERROR(E5/D5, 0)</f>
        <v>0.0099686009473203</v>
      </c>
    </row>
    <row r="6" customFormat="false" ht="15" hidden="false" customHeight="false" outlineLevel="0" collapsed="false">
      <c r="A6" s="4" t="s">
        <v>524</v>
      </c>
      <c r="B6" s="12" t="n">
        <f aca="false">COUNTIF(1_Loan_Detail!B5:B504, 2)</f>
        <v>45</v>
      </c>
      <c r="C6" s="13" t="n">
        <f aca="false">SUMIF(1_Loan_Detail!B5:B504, 2, 1_Loan_Detail!C5:C504) / 10000000</f>
        <v>2.715339792</v>
      </c>
      <c r="D6" s="13" t="n">
        <f aca="false">SUMIF(1_Loan_Detail!B5:B504, 2, 1_Loan_Detail!D5:D504) / 10000000</f>
        <v>2.789055656</v>
      </c>
      <c r="E6" s="13" t="n">
        <f aca="false">SUMIF(1_Loan_Detail!B5:B504, 2, 1_Loan_Detail!J5:J504) / 10000000</f>
        <v>0.16483950303483</v>
      </c>
      <c r="F6" s="14" t="n">
        <f aca="false">IFERROR(E6/D6, 0)</f>
        <v>0.0591022637645168</v>
      </c>
    </row>
    <row r="7" customFormat="false" ht="15" hidden="false" customHeight="false" outlineLevel="0" collapsed="false">
      <c r="A7" s="4" t="s">
        <v>525</v>
      </c>
      <c r="B7" s="12" t="n">
        <f aca="false">COUNTIF(1_Loan_Detail!B5:B504, 3)</f>
        <v>33</v>
      </c>
      <c r="C7" s="13" t="n">
        <f aca="false">SUMIF(1_Loan_Detail!B5:B504, 3, 1_Loan_Detail!C5:C504) / 10000000</f>
        <v>1.769914257</v>
      </c>
      <c r="D7" s="13" t="n">
        <f aca="false">SUMIF(1_Loan_Detail!B5:B504, 3, 1_Loan_Detail!D5:D504) / 10000000</f>
        <v>1.818433744</v>
      </c>
      <c r="E7" s="13" t="n">
        <f aca="false">SUMIF(1_Loan_Detail!B5:B504, 3, 1_Loan_Detail!J5:J504) / 10000000</f>
        <v>0.722245958358473</v>
      </c>
      <c r="F7" s="14" t="n">
        <f aca="false">IFERROR(E7/D7, 0)</f>
        <v>0.397180244120279</v>
      </c>
    </row>
    <row r="8" customFormat="false" ht="15" hidden="false" customHeight="false" outlineLevel="0" collapsed="false">
      <c r="A8" s="15" t="s">
        <v>514</v>
      </c>
      <c r="B8" s="16" t="n">
        <f aca="false">SUM(B5:B7)</f>
        <v>500</v>
      </c>
      <c r="C8" s="17" t="n">
        <f aca="false">SUM(C5:C7)</f>
        <v>31.778520214</v>
      </c>
      <c r="D8" s="17" t="n">
        <f aca="false">SUM(D5:D7)</f>
        <v>32.61641719</v>
      </c>
      <c r="E8" s="17" t="n">
        <f aca="false">SUM(E5:E7)</f>
        <v>1.16629528549412</v>
      </c>
      <c r="F8" s="18" t="n">
        <f aca="false">IFERROR(E8/D8, 0)</f>
        <v>0.0357579215000874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7"/>
    <col collapsed="false" customWidth="true" hidden="false" outlineLevel="0" max="2" min="2" style="0" width="20"/>
    <col collapsed="false" customWidth="true" hidden="false" outlineLevel="0" max="3" min="3" style="0" width="3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526</v>
      </c>
    </row>
    <row r="2" customFormat="false" ht="15" hidden="false" customHeight="false" outlineLevel="0" collapsed="false">
      <c r="A2" s="2" t="s">
        <v>527</v>
      </c>
    </row>
    <row r="4" customFormat="false" ht="25.5" hidden="false" customHeight="true" outlineLevel="0" collapsed="false">
      <c r="A4" s="3" t="s">
        <v>528</v>
      </c>
      <c r="B4" s="3" t="s">
        <v>529</v>
      </c>
      <c r="C4" s="3" t="s">
        <v>530</v>
      </c>
      <c r="D4" s="3" t="s">
        <v>531</v>
      </c>
      <c r="E4" s="3" t="s">
        <v>532</v>
      </c>
      <c r="F4" s="3" t="s">
        <v>533</v>
      </c>
    </row>
    <row r="5" customFormat="false" ht="15" hidden="false" customHeight="false" outlineLevel="0" collapsed="false">
      <c r="A5" s="4" t="s">
        <v>534</v>
      </c>
      <c r="B5" s="6" t="n">
        <v>500</v>
      </c>
      <c r="C5" s="13" t="n">
        <f aca="false">SUM(2_Stage_Summary!B5:B7)</f>
        <v>500</v>
      </c>
      <c r="D5" s="19" t="n">
        <f aca="false">C5-B5</f>
        <v>0</v>
      </c>
      <c r="E5" s="6" t="n">
        <v>0.5</v>
      </c>
      <c r="F5" s="4" t="str">
        <f aca="false">IF(ABS(D5) &lt;= E5, "✓ PASS", "✗ FAIL")</f>
        <v>✓ PASS</v>
      </c>
    </row>
    <row r="6" customFormat="false" ht="15" hidden="false" customHeight="false" outlineLevel="0" collapsed="false">
      <c r="A6" s="4" t="s">
        <v>535</v>
      </c>
      <c r="B6" s="6" t="n">
        <v>31.778520214</v>
      </c>
      <c r="C6" s="13" t="n">
        <f aca="false">2_Stage_Summary!C8</f>
        <v>31.778520214</v>
      </c>
      <c r="D6" s="19" t="n">
        <f aca="false">C6-B6</f>
        <v>0</v>
      </c>
      <c r="E6" s="6" t="n">
        <v>0.01</v>
      </c>
      <c r="F6" s="4" t="str">
        <f aca="false">IF(ABS(D6) &lt;= E6, "✓ PASS", "✗ FAIL")</f>
        <v>✓ PASS</v>
      </c>
    </row>
    <row r="7" customFormat="false" ht="15" hidden="false" customHeight="false" outlineLevel="0" collapsed="false">
      <c r="A7" s="4" t="s">
        <v>536</v>
      </c>
      <c r="B7" s="6" t="n">
        <v>32.61641719</v>
      </c>
      <c r="C7" s="13" t="n">
        <f aca="false">2_Stage_Summary!D8</f>
        <v>32.61641719</v>
      </c>
      <c r="D7" s="19" t="n">
        <f aca="false">C7-B7</f>
        <v>0</v>
      </c>
      <c r="E7" s="6" t="n">
        <v>0.01</v>
      </c>
      <c r="F7" s="4" t="str">
        <f aca="false">IF(ABS(D7) &lt;= E7, "✓ PASS", "✗ FAIL")</f>
        <v>✓ PASS</v>
      </c>
    </row>
    <row r="8" customFormat="false" ht="15" hidden="false" customHeight="false" outlineLevel="0" collapsed="false">
      <c r="A8" s="4" t="s">
        <v>537</v>
      </c>
      <c r="B8" s="6" t="n">
        <v>1.16629529</v>
      </c>
      <c r="C8" s="13" t="n">
        <f aca="false">2_Stage_Summary!E8</f>
        <v>1.16629528549412</v>
      </c>
      <c r="D8" s="19" t="n">
        <f aca="false">C8-B8</f>
        <v>-4.50587789302404E-009</v>
      </c>
      <c r="E8" s="6" t="n">
        <v>0.01</v>
      </c>
      <c r="F8" s="4" t="str">
        <f aca="false">IF(ABS(D8) &lt;= E8, "✓ PASS", "✗ FAIL")</f>
        <v>✓ PASS</v>
      </c>
    </row>
    <row r="9" customFormat="false" ht="15" hidden="false" customHeight="false" outlineLevel="0" collapsed="false">
      <c r="A9" s="4" t="s">
        <v>538</v>
      </c>
      <c r="B9" s="6" t="n">
        <v>3.5757921638235</v>
      </c>
      <c r="C9" s="13" t="n">
        <f aca="false">2_Stage_Summary!F8*100</f>
        <v>3.57579215000874</v>
      </c>
      <c r="D9" s="19" t="n">
        <f aca="false">C9-B9</f>
        <v>-1.38147542294575E-008</v>
      </c>
      <c r="E9" s="6" t="n">
        <v>0.01</v>
      </c>
      <c r="F9" s="4" t="str">
        <f aca="false">IF(ABS(D9) &lt;= E9, "✓ PASS", "✗ FAIL")</f>
        <v>✓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2026-05-21T08:58:09Z</dcterms:created>
  <dc:creator>openpyxl</dc:creator>
  <dc:description/>
  <dc:language>en-US</dc:language>
  <cp:lastModifiedBy/>
  <dcterms:modified xsi:type="dcterms:W3CDTF">2026-05-21T08:58:09Z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